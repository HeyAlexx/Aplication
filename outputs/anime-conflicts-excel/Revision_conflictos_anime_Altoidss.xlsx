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Coding Files\CodexProyects\Altoids\ProyectoFinal\2Entrega\outputs\anime-conflicts-excel\"/>
    </mc:Choice>
  </mc:AlternateContent>
  <xr:revisionPtr revIDLastSave="0" documentId="13_ncr:1_{16FCA085-E043-4FD0-9EE8-AA0500B31574}" xr6:coauthVersionLast="47" xr6:coauthVersionMax="47" xr10:uidLastSave="{00000000-0000-0000-0000-000000000000}"/>
  <bookViews>
    <workbookView xWindow="-118" yWindow="-118" windowWidth="32819" windowHeight="19087" xr2:uid="{00000000-000D-0000-FFFF-FFFF00000000}"/>
  </bookViews>
  <sheets>
    <sheet name="Revisión de confli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<sst xmlns="http://schemas.openxmlformats.org/spreadsheetml/2006/main" count="818" uniqueCount="317">
  <si>
    <t>ALTOIDSS | Revisión de conflictos de anime</t>
  </si>
  <si>
    <t>Selecciona OK únicamente cuando aceptes sustituir o completar los datos locales con el candidato de la API. RECHAZAR conserva el registro local.</t>
  </si>
  <si>
    <t>Total pendientes</t>
  </si>
  <si>
    <t>Conflicto probable</t>
  </si>
  <si>
    <t>Alias o título distinto</t>
  </si>
  <si>
    <t>Revisión recomendada</t>
  </si>
  <si>
    <t>Estreno futuro</t>
  </si>
  <si>
    <t>Aprobados</t>
  </si>
  <si>
    <t>Rechazados</t>
  </si>
  <si>
    <t>Sin decisión</t>
  </si>
  <si>
    <t>Decisión</t>
  </si>
  <si>
    <t>Clasificación</t>
  </si>
  <si>
    <t>ID local</t>
  </si>
  <si>
    <t>Anime local</t>
  </si>
  <si>
    <t>Año local</t>
  </si>
  <si>
    <t>Estación local</t>
  </si>
  <si>
    <t>Formato local</t>
  </si>
  <si>
    <t>Temporada local</t>
  </si>
  <si>
    <t>Capítulos</t>
  </si>
  <si>
    <t>Candidato API</t>
  </si>
  <si>
    <t>Año API</t>
  </si>
  <si>
    <t>Estación API</t>
  </si>
  <si>
    <t>Formato API</t>
  </si>
  <si>
    <t>Fuente</t>
  </si>
  <si>
    <t>Puntaje</t>
  </si>
  <si>
    <t>Conflictos detectados</t>
  </si>
  <si>
    <t>URL fuente</t>
  </si>
  <si>
    <t>anime-excel-42-3716</t>
  </si>
  <si>
    <t>Isekai Quartet Movie Another World</t>
  </si>
  <si>
    <t>Winter</t>
  </si>
  <si>
    <t>Película</t>
  </si>
  <si>
    <t>S01</t>
  </si>
  <si>
    <t>Isekai Quartet: Another World</t>
  </si>
  <si>
    <t>Spring</t>
  </si>
  <si>
    <t>MOVIE</t>
  </si>
  <si>
    <t>anilist</t>
  </si>
  <si>
    <t>El título local no coincide exactamente con los títulos o alias de la API. Año distinto: local 2023 / API 2022. Temporada de emisión distinta: local Winter / API Spring.</t>
  </si>
  <si>
    <t>https://anilist.co/anime/117074</t>
  </si>
  <si>
    <t>anime-excel-61-3739</t>
  </si>
  <si>
    <t>Maou Gakuin no Futekigousha II</t>
  </si>
  <si>
    <t>Serie</t>
  </si>
  <si>
    <t>Maou Gakuin no Futekigousha: Shijou Saikyou no Maou no Shiso, Tensei shite Shison-tachi no Gakkou e Kayou II</t>
  </si>
  <si>
    <t>TV</t>
  </si>
  <si>
    <t>El título local no coincide exactamente con los títulos o alias de la API.</t>
  </si>
  <si>
    <t>https://anilist.co/anime/130588</t>
  </si>
  <si>
    <t>anime-excel-138-3815</t>
  </si>
  <si>
    <t>5-toubun no Hanayome Movie</t>
  </si>
  <si>
    <t>S02</t>
  </si>
  <si>
    <t>Go-toubun no Hanayome Movie</t>
  </si>
  <si>
    <t>El título local no coincide exactamente con los títulos o alias de la API. Año distinto: local 2023 / API 2022. El Excel indica S02, pero el candidato no identifica esa temporada.</t>
  </si>
  <si>
    <t>https://anilist.co/anime/131520</t>
  </si>
  <si>
    <t>anime-excel-156-3835</t>
  </si>
  <si>
    <t>LasTame</t>
  </si>
  <si>
    <t>Summer</t>
  </si>
  <si>
    <t>Higeki no Genkyou to Naru Saikyou Gedou Last Boss Joou wa Tami no Tame ni Tsukushimasu.</t>
  </si>
  <si>
    <t>https://anilist.co/anime/156040</t>
  </si>
  <si>
    <t>anime-excel-174-3852</t>
  </si>
  <si>
    <t>Tonikaku Kawaii: Joshikou-hen</t>
  </si>
  <si>
    <t>ONA</t>
  </si>
  <si>
    <t>Formato distinto: local Serie / API ONA.</t>
  </si>
  <si>
    <t>https://anilist.co/anime/166104</t>
  </si>
  <si>
    <t>anime-excel-186-3865</t>
  </si>
  <si>
    <t>Shangri-La Frontier Kusoge Hunter, Kamige ni Idoman to su</t>
  </si>
  <si>
    <t>Fall</t>
  </si>
  <si>
    <t>Shangri-La Frontier</t>
  </si>
  <si>
    <t>kitsu</t>
  </si>
  <si>
    <t>https://kitsu.app/anime/shangri-la-frontier</t>
  </si>
  <si>
    <t>anime-excel-219-3904</t>
  </si>
  <si>
    <t>Kimi no Koto ga Daidaidaidaidaisuki na 100-nin no Kanojo</t>
  </si>
  <si>
    <t>Kimi no Koto ga Daidaidaidaidaisuki na 100-nin no Kanojo 2nd Season</t>
  </si>
  <si>
    <t>El título local no coincide exactamente con los títulos o alias de la API. Año distinto: local 2023 / API 2025.</t>
  </si>
  <si>
    <t>https://kitsu.app/anime/kimi-no-koto-ga-daidaidaidaidaisuki-na-100-nin-no-kanojo-2nd-season</t>
  </si>
  <si>
    <t>anime-excel-225-3912</t>
  </si>
  <si>
    <t>Psycho-Pass Movie Providence</t>
  </si>
  <si>
    <t>S00</t>
  </si>
  <si>
    <t>Psycho-Pass Movie</t>
  </si>
  <si>
    <t>movie</t>
  </si>
  <si>
    <t>El título local no coincide exactamente con los títulos o alias de la API. Año distinto: local 2023 / API 2015.</t>
  </si>
  <si>
    <t>https://kitsu.app/anime/psycho-pass-movie</t>
  </si>
  <si>
    <t>anime-excel-226-3913</t>
  </si>
  <si>
    <t>Jashin-chan Dropkick Seikimatsu-hen</t>
  </si>
  <si>
    <t>OVA</t>
  </si>
  <si>
    <t>Jashin-chan Dropkick [Seikimatsu-hen]</t>
  </si>
  <si>
    <t>SPECIAL</t>
  </si>
  <si>
    <t>Formato distinto: local OVA / API SPECIAL.</t>
  </si>
  <si>
    <t>https://anilist.co/anime/164551</t>
  </si>
  <si>
    <t>anime-excel-244-3931</t>
  </si>
  <si>
    <t>Loop 7-kaime no Akuyaku Reijou wa</t>
  </si>
  <si>
    <t>Loop 7-kaime no Akuyaku Reijou wa, Moto Tekikoku de Jiyuu Kimama na Hanayome Seikatsu wo Mankitsu Suru</t>
  </si>
  <si>
    <t>https://anilist.co/anime/168374</t>
  </si>
  <si>
    <t>anime-excel-245-3933</t>
  </si>
  <si>
    <t>Shin no Nakama S2</t>
  </si>
  <si>
    <t>Shin no Nakama ja Nai to Yuusha no Party wo Oidasareta node, Henkyou de Slow Life suru Koto ni shimashita 2nd Season</t>
  </si>
  <si>
    <t>https://kitsu.app/anime/shin-no-nakama-ja-nai-to-yuusha-no-party-wo-oidasareta-node-henkyou-de-slow-life-suru-koto-ni-shimashita-2nd-season</t>
  </si>
  <si>
    <t>anime-excel-302-3955</t>
  </si>
  <si>
    <t>ReMonster</t>
  </si>
  <si>
    <t>Monster</t>
  </si>
  <si>
    <t>El título local no coincide exactamente con los títulos o alias de la API. Año distinto: local 2024 / API 2004.</t>
  </si>
  <si>
    <t>https://kitsu.app/anime/monster</t>
  </si>
  <si>
    <t>anime-excel-307-3999</t>
  </si>
  <si>
    <t>Code Geass Dakkan no Rozé</t>
  </si>
  <si>
    <t>S04</t>
  </si>
  <si>
    <t>Code Geass: Dakkan no Rozé</t>
  </si>
  <si>
    <t>Formato distinto: local Serie / API OVA. El Excel indica S04, pero el candidato no identifica esa temporada.</t>
  </si>
  <si>
    <t>https://kitsu.app/anime/code-geass-dakkan-no-z</t>
  </si>
  <si>
    <t>anime-excel-346-4039</t>
  </si>
  <si>
    <t>Kinnikuman Kanpeki Chоujin Shiso-hen</t>
  </si>
  <si>
    <t>Kinnikuman: Kanpeki Chоujin Shiso-hen Episode 0</t>
  </si>
  <si>
    <t>special</t>
  </si>
  <si>
    <t>El título local no coincide exactamente con los títulos o alias de la API. Formato distinto: local Serie / API special.</t>
  </si>
  <si>
    <t>https://kitsu.app/anime/kinnikuman-kanpeki-ch-ujin-shiso-hen-episode-0</t>
  </si>
  <si>
    <t>anime-excel-347-4040</t>
  </si>
  <si>
    <t>Kimi ni Todoke 3rd Season</t>
  </si>
  <si>
    <t>S03</t>
  </si>
  <si>
    <t>Kimi ni Todoke 3RD SEASON</t>
  </si>
  <si>
    <t>https://anilist.co/anime/168872</t>
  </si>
  <si>
    <t>anime-excel-349-4042</t>
  </si>
  <si>
    <t>Spy x Family Movie Code White</t>
  </si>
  <si>
    <t>Ayataka Spy x Family Movie Campaign Ayataka de Hotto Hitoiki</t>
  </si>
  <si>
    <t>El título local no coincide exactamente con los títulos o alias de la API. Formato distinto: local Película / API ONA. Año distinto: local 2023 / API 2024.</t>
  </si>
  <si>
    <t>https://kitsu.app/anime/ayataka-spy-x-family-movie-campaign-ayataka-de-hotto-hitoiki</t>
  </si>
  <si>
    <t>anime-excel-350-4043</t>
  </si>
  <si>
    <t>Hitoribocchi no Isekai Kouryaku</t>
  </si>
  <si>
    <t>https://anilist.co/anime/173693</t>
  </si>
  <si>
    <t>anime-excel-357-4050</t>
  </si>
  <si>
    <t>ReZero kara Hajimeru Isekai Seikatsu 3rd</t>
  </si>
  <si>
    <t>Re:Zero kara Hajimeru Isekai Seikatsu</t>
  </si>
  <si>
    <t>El título local no coincide exactamente con los títulos o alias de la API. Año distinto: local 2024 / API 2016. El Excel indica S03, pero el candidato no identifica esa temporada.</t>
  </si>
  <si>
    <t>https://kitsu.app/anime/re-zero-kara-hajimeru-isekai-seikatsu</t>
  </si>
  <si>
    <t>anime-excel-361-4054</t>
  </si>
  <si>
    <t>Dungeon ni Deai wo Motomeru no wa Machigatteiru Darou ka V</t>
  </si>
  <si>
    <t>S05</t>
  </si>
  <si>
    <t>Dungeon ni Deai wo Motomeru no wa Machigatteiru Darou ka VI</t>
  </si>
  <si>
    <t>El título local no coincide exactamente con los títulos o alias de la API. El Excel indica S05, pero el candidato no identifica esa temporada.</t>
  </si>
  <si>
    <t>https://anilist.co/anime/207385</t>
  </si>
  <si>
    <t>anime-excel-372-4065</t>
  </si>
  <si>
    <t>Goukon ni Ittara Onna ga Inakatta Hanashi</t>
  </si>
  <si>
    <t>https://anilist.co/anime/169931</t>
  </si>
  <si>
    <t>anime-excel-395-4091</t>
  </si>
  <si>
    <t>Hazure Skill Kinomi Master</t>
  </si>
  <si>
    <t>Hazure Skill «Kinomi Master»: Skill no Mi (Tabetara Shinu) wo Mugen ni Taberareru You ni Natta Ken Nitsuite</t>
  </si>
  <si>
    <t>https://anilist.co/anime/178100</t>
  </si>
  <si>
    <t>anime-excel-427-4124</t>
  </si>
  <si>
    <t>Girumasu</t>
  </si>
  <si>
    <t>Guild no Uketsukejou desu ga, Zangyou wa Iya nanode Boss wo Solo Toubatsu Shiyou to Omoimasu</t>
  </si>
  <si>
    <t>https://anilist.co/anime/167143</t>
  </si>
  <si>
    <t>anime-excel-428-4125</t>
  </si>
  <si>
    <t>Sakamoto Days</t>
  </si>
  <si>
    <t>SAKAMOTO DAYS</t>
  </si>
  <si>
    <t>https://anilist.co/anime/177709</t>
  </si>
  <si>
    <t>anime-excel-442-4140</t>
  </si>
  <si>
    <t>Yami Healer</t>
  </si>
  <si>
    <t>Isshun de Chiryou Shiteita no ni Yakutatazu to Tsuihou Sareta Tensai Chiyushi, Yami Healer Toshite Tanoshiku Ikiru</t>
  </si>
  <si>
    <t>https://anilist.co/anime/175872</t>
  </si>
  <si>
    <t>anime-excel-471-4171</t>
  </si>
  <si>
    <t>Mono Weekend Animation</t>
  </si>
  <si>
    <t>mono</t>
  </si>
  <si>
    <t>https://anilist.co/anime/176246</t>
  </si>
  <si>
    <t>anime-excel-474-4174</t>
  </si>
  <si>
    <t>Shirohiyo</t>
  </si>
  <si>
    <t>Shirobuta Kizoku desu ga Zense no Kioku ga Haeta node Hiyoko na Otouto Sodatemasu</t>
  </si>
  <si>
    <t>El título local no coincide exactamente con los títulos o alias de la API. Formato distinto: local Serie / API ONA.</t>
  </si>
  <si>
    <t>https://anilist.co/anime/179541</t>
  </si>
  <si>
    <t>anime-excel-475-4175</t>
  </si>
  <si>
    <t>Boku no Hero Academia the Movie 4 You're Next</t>
  </si>
  <si>
    <t>Boku no Hero Academia THE MOVIE: YOU'RE NEXT</t>
  </si>
  <si>
    <t>El título local no coincide exactamente con los títulos o alias de la API. Año distinto: local 2025 / API 2024. El Excel indica S04, pero el candidato no identifica esa temporada.</t>
  </si>
  <si>
    <t>https://kitsu.app/anime/boku-no-hero-academia-the-movie-4</t>
  </si>
  <si>
    <t>anime-excel-476-4176</t>
  </si>
  <si>
    <t>Overlord Movie 3 Sei Oukoku-hen</t>
  </si>
  <si>
    <t>Overlord: Sei Oukoku-hen</t>
  </si>
  <si>
    <t>El título local no coincide exactamente con los títulos o alias de la API. Año distinto: local 2025 / API 2024. El Excel indica S03, pero el candidato no identifica esa temporada.</t>
  </si>
  <si>
    <t>https://kitsu.app/anime/overlord-sei-oukoku-hen</t>
  </si>
  <si>
    <t>anime-excel-478-4178</t>
  </si>
  <si>
    <t>Koujo Denka no Kateikyoushi</t>
  </si>
  <si>
    <t>https://anilist.co/anime/170113</t>
  </si>
  <si>
    <t>anime-excel-479-4179</t>
  </si>
  <si>
    <t>Kanojo, Okarishimasu 4th Season</t>
  </si>
  <si>
    <t>https://anilist.co/anime/179344</t>
  </si>
  <si>
    <t>anime-excel-483-4183</t>
  </si>
  <si>
    <t>Jidou Hanbaiki ni Umarekawatta Ore wa Meikyuu wo Samayou 2nd</t>
  </si>
  <si>
    <t>Jidou Hanbaiki ni Umarekawatta Ore wa Meikyuu wo Samayou 2nd Season</t>
  </si>
  <si>
    <t>El título local no coincide exactamente con los títulos o alias de la API. El Excel indica S04, pero el candidato no identifica esa temporada.</t>
  </si>
  <si>
    <t>https://anilist.co/anime/169440</t>
  </si>
  <si>
    <t>anime-excel-488-4188</t>
  </si>
  <si>
    <t>Dandadan 2nd</t>
  </si>
  <si>
    <t>Dandadan 2nd Season</t>
  </si>
  <si>
    <t>https://anilist.co/anime/185660</t>
  </si>
  <si>
    <t>anime-excel-496-4196</t>
  </si>
  <si>
    <t>Yofukashi no Uta  2nd</t>
  </si>
  <si>
    <t>Yofukashi no Uta 2nd Season</t>
  </si>
  <si>
    <t>https://kitsu.app/anime/Yofukashi-no-Uta-2nd-Season</t>
  </si>
  <si>
    <t>anime-excel-497-4197</t>
  </si>
  <si>
    <t>Kizetsu Yuusha to Ansatsu Hime</t>
  </si>
  <si>
    <t>https://anilist.co/anime/186561</t>
  </si>
  <si>
    <t>anime-excel-498-4198</t>
  </si>
  <si>
    <t>Yuusha Party wo Tsuihou sareta Shiromadoushi</t>
  </si>
  <si>
    <t>Yuusha Party wo Tsuihou Sareta Shiro Madoushi, S Rank Boukensha ni Hirowareru: Kono Shiro Madoushi ga Kikakugaisugiru</t>
  </si>
  <si>
    <t>https://kitsu.app/anime/yuusha-party-wo-tsuihou-sareta-shiro-madoushi-s-rank-boukensha-ni-hirowareru-kono-shiro-madoushi-ga-kikakugaisugiru</t>
  </si>
  <si>
    <t>anime-excel-506-4207</t>
  </si>
  <si>
    <t>Nyaight of the Living Cat</t>
  </si>
  <si>
    <t>https://anilist.co/anime/175124</t>
  </si>
  <si>
    <t>anime-excel-528-4232</t>
  </si>
  <si>
    <t>Kakuriyo no Yadomeshi Ni</t>
  </si>
  <si>
    <t>Kakuriyo no Yadomeshi</t>
  </si>
  <si>
    <t>El título local no coincide exactamente con los títulos o alias de la API. Año distinto: local 2025 / API 2018.</t>
  </si>
  <si>
    <t>https://kitsu.app/anime/kakuriyo-no-yadomeshi</t>
  </si>
  <si>
    <t>anime-excel-535-4239</t>
  </si>
  <si>
    <t>Saigo ni Hitotsu dake Onegai shitemo Yoroshii deshou ka</t>
  </si>
  <si>
    <t>Inferior</t>
  </si>
  <si>
    <t>music</t>
  </si>
  <si>
    <t>https://kitsu.app/anime/inferior</t>
  </si>
  <si>
    <t>anime-excel-540-4244</t>
  </si>
  <si>
    <t>Mikata ga Yowasugite Hojo Mahou</t>
  </si>
  <si>
    <t>Mikata ga Yowasugite Hojo Mahou ni Tesshiteita Kyuutei Mahoushi, Tsuihou Sarete Saikyou wo Mezasu</t>
  </si>
  <si>
    <t>https://anilist.co/anime/188487</t>
  </si>
  <si>
    <t>Estreno futuro o sin publicar</t>
  </si>
  <si>
    <t>anime-excel-575-4279</t>
  </si>
  <si>
    <t>Yuusha Party wo Oidasareta Kiyoubinbou</t>
  </si>
  <si>
    <t>Jack-of-All-Trades, Party of None</t>
  </si>
  <si>
    <t>https://kitsu.app/anime/jack-of-all-trades-party-of-none</t>
  </si>
  <si>
    <t>anime-excel-576-4280</t>
  </si>
  <si>
    <t>Tamon-kun Ima Docchi!</t>
  </si>
  <si>
    <t>Tamon-kun Ima Docchi!?</t>
  </si>
  <si>
    <t>https://anilist.co/anime/178005</t>
  </si>
  <si>
    <t>anime-excel-578-4283</t>
  </si>
  <si>
    <t>Hanazakari no Kimitachi e</t>
  </si>
  <si>
    <t>https://anilist.co/anime/177580</t>
  </si>
  <si>
    <t>anime-excel-584-4289</t>
  </si>
  <si>
    <t>Vigilante Boku no Hero Academia Illegals 2nd</t>
  </si>
  <si>
    <t>Vigilante: Boku no Hero Academia ILLEGALS 2nd Season</t>
  </si>
  <si>
    <t>https://anilist.co/anime/195322</t>
  </si>
  <si>
    <t>anime-excel-594-4299</t>
  </si>
  <si>
    <t>Okiraku Ryoushu no Tanoshii Ryouchi Bouei</t>
  </si>
  <si>
    <t>https://kitsu.app/anime/okiraku-ryoushu-no-tanoshii-ryouchi-bouei</t>
  </si>
  <si>
    <t>anime-excel-600-4305</t>
  </si>
  <si>
    <t>Omagoto</t>
  </si>
  <si>
    <t>Noragami Aragoto</t>
  </si>
  <si>
    <t>El título local no coincide exactamente con los títulos o alias de la API. Año distinto: local 2026 / API 2015.</t>
  </si>
  <si>
    <t>https://kitsu.app/anime/noragami-aragoto</t>
  </si>
  <si>
    <t>anime-excel-602-4307</t>
  </si>
  <si>
    <t>Jujutsu Kaisen Shimetsu Kaiyuu - Zenpen</t>
  </si>
  <si>
    <t>Jujutsu Kaisen: Shimetsu Kaiyuu - Zenpen</t>
  </si>
  <si>
    <t>La coincidencia es cercana, pero no alcanzó el umbral conservador de 0.80.</t>
  </si>
  <si>
    <t>https://anilist.co/anime/172463</t>
  </si>
  <si>
    <t>anime-excel-605-4310</t>
  </si>
  <si>
    <t>Hell Mode Yarikomizuki no Gamer wa Hai Settei no Isekai de Musou suru</t>
  </si>
  <si>
    <t>HELL MODE: The Hardcore Gamer Dominates in Another World with Garbage Balancing</t>
  </si>
  <si>
    <t>https://kitsu.app/anime/hell-mode-the-hardcore-gamer-dominates-in-another-world-with-garbage-balancing</t>
  </si>
  <si>
    <t>anime-excel-624-4330</t>
  </si>
  <si>
    <t>Maid-san wa Taberu dake</t>
  </si>
  <si>
    <t>https://anilist.co/anime/197868</t>
  </si>
  <si>
    <t>anime-excel-625-4331</t>
  </si>
  <si>
    <t>Saikyou no Shokugyou wa Yuusha demo Kenja demo Naku Kanteishi (Kari) Rashii desu yo</t>
  </si>
  <si>
    <t>Saikyou no Shokugyou wa Yuusha demo Kenja demo Naku Kanteishi (Kari) Rashii desu yo?</t>
  </si>
  <si>
    <t>https://anilist.co/anime/200769</t>
  </si>
  <si>
    <t>anime-excel-630-4336</t>
  </si>
  <si>
    <t>Ganbare! Nakamura-kun!!</t>
  </si>
  <si>
    <t>https://anilist.co/anime/180228</t>
  </si>
  <si>
    <t>anime-excel-649-4355</t>
  </si>
  <si>
    <t>Mao (2026)</t>
  </si>
  <si>
    <t>MAO</t>
  </si>
  <si>
    <t>https://kitsu.app/anime/mao-2026</t>
  </si>
  <si>
    <t>anime-excel-651-4357</t>
  </si>
  <si>
    <t>Nippon Sangoku</t>
  </si>
  <si>
    <t>https://anilist.co/anime/206914</t>
  </si>
  <si>
    <t>anime-excel-683-4388</t>
  </si>
  <si>
    <t>Heroine Seijo Iie, All Works Maid desu (Hokori)!</t>
  </si>
  <si>
    <t>Heroine? Seijo? Iie, All Works Maid desu (Ko)!</t>
  </si>
  <si>
    <t>El título local no coincide exactamente con los títulos o alias de la API. Formato distinto: local OVA / API ONA.</t>
  </si>
  <si>
    <t>https://kitsu.app/anime/heroine-seijo-iie-all-works-maid-desu-ko</t>
  </si>
  <si>
    <t>anime-excel-684-4389</t>
  </si>
  <si>
    <t>Rakudai Kenja no Gakuin Musou Nidome no Tensei, S-Rank Cheat Majutsushi Boukenroku</t>
  </si>
  <si>
    <t>Rakudai Kenja no Gakuin Musou: Nidome no Tensei, S-Rank Cheat Majutsushi Boukenroku</t>
  </si>
  <si>
    <t>https://kitsu.app/anime/rakudai-kenja-no-gakuin-musou-nidome-no-tensei-s-rank-cheat-majutsushi-boukenroku</t>
  </si>
  <si>
    <t>anime-excel-688-4393</t>
  </si>
  <si>
    <t>Lv999 no Murabito</t>
  </si>
  <si>
    <t>LV999 no Murabito</t>
  </si>
  <si>
    <t>https://kitsu.app/anime/lv999-no-murabito</t>
  </si>
  <si>
    <t>anime-excel-692-4397</t>
  </si>
  <si>
    <t>Ryoumin 0-nin Start no Henkyou Ryoushu-sama</t>
  </si>
  <si>
    <t>Ryoumin 0-Nin Start no Henkyou Ryoushu-sama</t>
  </si>
  <si>
    <t>https://kitsu.app/anime/ryoumin-0-nin-start-no-henkyou-ryoushu-sama</t>
  </si>
  <si>
    <t>anime-excel-696-4401</t>
  </si>
  <si>
    <t>Hell Mode: Yarikomizuki no Gamer wa Hai Settei no Isekai de Musou suru 2nd</t>
  </si>
  <si>
    <t>anime-excel-717-4422</t>
  </si>
  <si>
    <t>Mushoku Tensei III: Isekai Ittara Honki Dasu</t>
  </si>
  <si>
    <t>https://anilist.co/anime/178789</t>
  </si>
  <si>
    <t>anime-excel-720-1001</t>
  </si>
  <si>
    <t>Bai Ri Cheng Wang</t>
  </si>
  <si>
    <t>https://anilist.co/anime/213484</t>
  </si>
  <si>
    <t>anime-excel-724-1005</t>
  </si>
  <si>
    <t>Koukaku Kidoutai (TV)</t>
  </si>
  <si>
    <t>Ghost in the Shell: Arise - Alternative Architecture</t>
  </si>
  <si>
    <t>https://kitsu.app/anime/ghost-in-the-shell-arise-tv</t>
  </si>
  <si>
    <t>anime-excel-726-1007</t>
  </si>
  <si>
    <t>Yoroi Shin Den Samurai Troopers P2</t>
  </si>
  <si>
    <t>Shinsekai yori</t>
  </si>
  <si>
    <t>https://kitsu.app/anime/shinsekai-yori</t>
  </si>
  <si>
    <t>anime-excel-727-1008</t>
  </si>
  <si>
    <t>Clevatess II Majuu no Ou to Itsuwari no Yuusha Denshou</t>
  </si>
  <si>
    <t>Clevatess II: Majuu no Ou to Itsuwari no Yuusha Denshou</t>
  </si>
  <si>
    <t>https://anilist.co/anime/198946</t>
  </si>
  <si>
    <t>anime-excel-728-1009</t>
  </si>
  <si>
    <t>Kimi no Koto ga Daidaidaidaidaisuki na 100-nin no Kanojo 3rd</t>
  </si>
  <si>
    <t>Kimi no Koto ga Daidaidaidaidaisuki na 100-nin no Kanojo 3rd Season</t>
  </si>
  <si>
    <t>https://kitsu.app/anime/kimi-no-koto-ga-daidaidaidaidaisuki-na-100-nin-no-kanojo-3rd-season</t>
  </si>
  <si>
    <t>anime-excel-730-1012</t>
  </si>
  <si>
    <t>Otome Game Sekai wa Mob ni Kibishii Sekai desu 2</t>
  </si>
  <si>
    <t>Otomege Sekai wa Mob ni Kibishii Sekai desu 2</t>
  </si>
  <si>
    <t>https://anilist.co/anime/159309</t>
  </si>
  <si>
    <t>anime-excel-736-1018</t>
  </si>
  <si>
    <t>Saikyou Degarashi Ouji no Anyaku Teii Arasoi</t>
  </si>
  <si>
    <t>Saikyou Degarashi Ouji no Anyaku Teii Arasoi: Munou wo Enjiru SS Rank Ouji wa Koui Keishou-sen wo Kage kara Shihai suru</t>
  </si>
  <si>
    <t>https://anilist.co/anime/169582</t>
  </si>
  <si>
    <t>OK</t>
  </si>
  <si>
    <t>RECHAZAR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</si>
</sst>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8"/>
      <color rgb="FFFFFFFF"/>
      <name val="Carlito"/>
    </font>
    <font>
      <i/>
      <sz val="11"/>
      <color rgb="FFDCE9E4"/>
      <name val="Carlito"/>
    </font>
    <font>
      <b/>
      <sz val="11"/>
      <color rgb="FFFFFFFF"/>
      <name val="Carlito"/>
    </font>
    <font>
      <b/>
      <sz val="14"/>
      <color rgb="FF04151A"/>
      <name val="Carlito"/>
    </font>
    <font>
      <sz val="10"/>
      <color rgb="FF04151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4151A"/>
      </patternFill>
    </fill>
    <fill>
      <patternFill patternType="solid">
        <fgColor rgb="FF092828"/>
      </patternFill>
    </fill>
    <fill>
      <patternFill patternType="solid">
        <fgColor rgb="FF325F57"/>
      </patternFill>
    </fill>
    <fill>
      <patternFill patternType="solid">
        <fgColor rgb="FFDCE9E4"/>
      </patternFill>
    </fill>
    <fill>
      <patternFill patternType="solid">
        <fgColor rgb="FF163E3C"/>
      </patternFill>
    </fill>
  </fills>
  <borders count="9">
    <border>
      <left/>
      <right/>
      <top/>
      <bottom/>
      <diagonal/>
    </border>
    <border>
      <left style="thin">
        <color rgb="FF6F9487"/>
      </left>
      <right/>
      <top style="thin">
        <color rgb="FF6F9487"/>
      </top>
      <bottom style="thin">
        <color rgb="FF6F9487"/>
      </bottom>
      <diagonal/>
    </border>
    <border>
      <left/>
      <right/>
      <top style="thin">
        <color rgb="FF6F9487"/>
      </top>
      <bottom style="thin">
        <color rgb="FF6F9487"/>
      </bottom>
      <diagonal/>
    </border>
    <border>
      <left/>
      <right style="thin">
        <color rgb="FF6F9487"/>
      </right>
      <top style="thin">
        <color rgb="FF6F9487"/>
      </top>
      <bottom style="thin">
        <color rgb="FF6F9487"/>
      </bottom>
      <diagonal/>
    </border>
    <border>
      <left style="medium">
        <color rgb="FF325F57"/>
      </left>
      <right/>
      <top style="medium">
        <color rgb="FF325F57"/>
      </top>
      <bottom style="medium">
        <color rgb="FF325F57"/>
      </bottom>
      <diagonal/>
    </border>
    <border>
      <left/>
      <right/>
      <top style="medium">
        <color rgb="FF325F57"/>
      </top>
      <bottom style="medium">
        <color rgb="FF325F57"/>
      </bottom>
      <diagonal/>
    </border>
    <border>
      <left/>
      <right style="medium">
        <color rgb="FF325F57"/>
      </right>
      <top style="medium">
        <color rgb="FF325F57"/>
      </top>
      <bottom style="medium">
        <color rgb="FF325F57"/>
      </bottom>
      <diagonal/>
    </border>
    <border>
      <left/>
      <right/>
      <top/>
      <bottom style="thin">
        <color rgb="FFD7E1DD"/>
      </bottom>
      <diagonal/>
    </border>
    <border>
      <left/>
      <right/>
      <top style="thin">
        <color rgb="FFD7E1DD"/>
      </top>
      <bottom style="thin">
        <color rgb="FFD7E1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1" fontId="5" fillId="0" borderId="7" xfId="0" applyNumberFormat="1" applyFont="1" applyBorder="1" applyAlignment="1">
      <alignment vertical="top"/>
    </xf>
    <xf numFmtId="1" fontId="5" fillId="0" borderId="8" xfId="0" applyNumberFormat="1" applyFont="1" applyBorder="1" applyAlignment="1">
      <alignment vertical="top"/>
    </xf>
    <xf numFmtId="2" fontId="5" fillId="0" borderId="7" xfId="0" applyNumberFormat="1" applyFont="1" applyBorder="1" applyAlignment="1">
      <alignment vertical="top"/>
    </xf>
    <xf numFmtId="2" fontId="5" fillId="0" borderId="8" xfId="0" applyNumberFormat="1" applyFont="1" applyBorder="1" applyAlignment="1">
      <alignment vertical="top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4CCCC"/>
        </patternFill>
      </fill>
    </dxf>
    <dxf>
      <font>
        <color rgb="FF4C247A"/>
      </font>
      <fill>
        <patternFill patternType="solid">
          <bgColor rgb="FFE4D7F5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eConflictReview" displayName="AnimeConflictReview" ref="A6:Q71" totalsRowShown="0">
  <autoFilter ref="A6:Q71" xr:uid="{00000000-0009-0000-0100-000001000000}"/>
  <tableColumns count="17">
    <tableColumn id="1" xr3:uid="{00000000-0010-0000-0000-000001000000}" name="Decisión"/>
    <tableColumn id="2" xr3:uid="{00000000-0010-0000-0000-000002000000}" name="Clasificación"/>
    <tableColumn id="3" xr3:uid="{00000000-0010-0000-0000-000003000000}" name="ID local"/>
    <tableColumn id="4" xr3:uid="{00000000-0010-0000-0000-000004000000}" name="Anime local"/>
    <tableColumn id="5" xr3:uid="{00000000-0010-0000-0000-000005000000}" name="Año local"/>
    <tableColumn id="6" xr3:uid="{00000000-0010-0000-0000-000006000000}" name="Estación local"/>
    <tableColumn id="7" xr3:uid="{00000000-0010-0000-0000-000007000000}" name="Formato local"/>
    <tableColumn id="8" xr3:uid="{00000000-0010-0000-0000-000008000000}" name="Temporada local"/>
    <tableColumn id="9" xr3:uid="{00000000-0010-0000-0000-000009000000}" name="Capítulos"/>
    <tableColumn id="10" xr3:uid="{00000000-0010-0000-0000-00000A000000}" name="Candidato API"/>
    <tableColumn id="11" xr3:uid="{00000000-0010-0000-0000-00000B000000}" name="Año API"/>
    <tableColumn id="12" xr3:uid="{00000000-0010-0000-0000-00000C000000}" name="Estación API"/>
    <tableColumn id="13" xr3:uid="{00000000-0010-0000-0000-00000D000000}" name="Formato API"/>
    <tableColumn id="14" xr3:uid="{00000000-0010-0000-0000-00000E000000}" name="Fuente"/>
    <tableColumn id="15" xr3:uid="{00000000-0010-0000-0000-00000F000000}" name="Puntaje"/>
    <tableColumn id="16" xr3:uid="{00000000-0010-0000-0000-000010000000}" name="Conflictos detectados"/>
    <tableColumn id="17" xr3:uid="{00000000-0010-0000-0000-000011000000}" name="URL 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showGridLines="0" tabSelected="1" workbookViewId="0">
      <selection activeCell="A72" sqref="A72"/>
    </sheetView>
  </sheetViews>
  <sheetFormatPr defaultRowHeight="15.05" x14ac:dyDescent="0.3"/>
  <cols>
    <col min="1" max="1" width="14" customWidth="1"/>
    <col min="2" max="2" width="13.109375" customWidth="1"/>
    <col min="3" max="3" width="14.109375" customWidth="1"/>
    <col min="4" max="4" width="34" customWidth="1"/>
    <col min="5" max="5" width="11" customWidth="1"/>
    <col min="6" max="6" width="10.21875" customWidth="1"/>
    <col min="7" max="7" width="14" customWidth="1"/>
    <col min="8" max="8" width="7.77734375" customWidth="1"/>
    <col min="9" max="9" width="11" customWidth="1"/>
    <col min="10" max="10" width="41.5546875" customWidth="1"/>
    <col min="11" max="11" width="11" customWidth="1"/>
    <col min="12" max="12" width="14" customWidth="1"/>
    <col min="13" max="13" width="13" customWidth="1"/>
    <col min="14" max="14" width="12" customWidth="1"/>
    <col min="15" max="15" width="10" customWidth="1"/>
    <col min="16" max="16" width="62" customWidth="1"/>
    <col min="17" max="17" width="42" customWidth="1"/>
  </cols>
  <sheetData>
    <row r="1" spans="1:17" ht="34.049999999999997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2.1" customHeight="1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6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7" ht="26.05" customHeight="1" x14ac:dyDescent="0.3">
      <c r="A4" s="2">
        <f>COUNTA(C7:C71)</f>
        <v>65</v>
      </c>
      <c r="B4" s="3">
        <f>COUNTIF(B7:B71,"Conflicto probable")</f>
        <v>25</v>
      </c>
      <c r="C4" s="3">
        <f>COUNTIF(B7:B71,"Alias o título distinto")</f>
        <v>24</v>
      </c>
      <c r="D4" s="3">
        <f>COUNTIF(B7:B71,"Revisión recomendada")</f>
        <v>11</v>
      </c>
      <c r="E4" s="3">
        <f>COUNTIF(B7:B71,"Estreno futuro o sin publicar")</f>
        <v>5</v>
      </c>
      <c r="F4" s="3">
        <f>COUNTIF(A7:A71,"OK")</f>
        <v>50</v>
      </c>
      <c r="G4" s="3">
        <f>COUNTIF(A7:A71,"RECHAZAR")</f>
        <v>15</v>
      </c>
      <c r="H4" s="4">
        <f>COUNTBLANK(A7:A71)</f>
        <v>0</v>
      </c>
    </row>
    <row r="6" spans="1:17" ht="32.1" customHeight="1" x14ac:dyDescent="0.3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  <c r="L6" s="6" t="s">
        <v>21</v>
      </c>
      <c r="M6" s="6" t="s">
        <v>22</v>
      </c>
      <c r="N6" s="6" t="s">
        <v>23</v>
      </c>
      <c r="O6" s="6" t="s">
        <v>24</v>
      </c>
      <c r="P6" s="6" t="s">
        <v>25</v>
      </c>
      <c r="Q6" s="7" t="s">
        <v>26</v>
      </c>
    </row>
    <row r="7" spans="1:17" ht="47.95" customHeight="1" x14ac:dyDescent="0.3">
      <c r="A7" s="8" t="s">
        <v>315</v>
      </c>
      <c r="B7" s="8" t="s">
        <v>5</v>
      </c>
      <c r="C7" s="8" t="s">
        <v>27</v>
      </c>
      <c r="D7" s="10" t="s">
        <v>28</v>
      </c>
      <c r="E7" s="12">
        <v>2023</v>
      </c>
      <c r="F7" s="8" t="s">
        <v>29</v>
      </c>
      <c r="G7" s="8" t="s">
        <v>30</v>
      </c>
      <c r="H7" s="8" t="s">
        <v>31</v>
      </c>
      <c r="I7" s="12">
        <v>1</v>
      </c>
      <c r="J7" s="10" t="s">
        <v>32</v>
      </c>
      <c r="K7" s="12">
        <v>2022</v>
      </c>
      <c r="L7" s="8" t="s">
        <v>33</v>
      </c>
      <c r="M7" s="8" t="s">
        <v>34</v>
      </c>
      <c r="N7" s="8" t="s">
        <v>35</v>
      </c>
      <c r="O7" s="14">
        <v>0.74439999999999995</v>
      </c>
      <c r="P7" s="10" t="s">
        <v>36</v>
      </c>
      <c r="Q7" s="10" t="s">
        <v>37</v>
      </c>
    </row>
    <row r="8" spans="1:17" ht="47.95" customHeight="1" x14ac:dyDescent="0.3">
      <c r="A8" s="9" t="s">
        <v>315</v>
      </c>
      <c r="B8" s="9" t="s">
        <v>5</v>
      </c>
      <c r="C8" s="9" t="s">
        <v>38</v>
      </c>
      <c r="D8" s="11" t="s">
        <v>39</v>
      </c>
      <c r="E8" s="13">
        <v>2023</v>
      </c>
      <c r="F8" s="9" t="s">
        <v>29</v>
      </c>
      <c r="G8" s="9" t="s">
        <v>40</v>
      </c>
      <c r="H8" s="9" t="s">
        <v>31</v>
      </c>
      <c r="I8" s="13">
        <v>12</v>
      </c>
      <c r="J8" s="11" t="s">
        <v>41</v>
      </c>
      <c r="K8" s="13">
        <v>2023</v>
      </c>
      <c r="L8" s="9" t="s">
        <v>29</v>
      </c>
      <c r="M8" s="9" t="s">
        <v>42</v>
      </c>
      <c r="N8" s="9" t="s">
        <v>35</v>
      </c>
      <c r="O8" s="15">
        <v>0.67120000000000002</v>
      </c>
      <c r="P8" s="11" t="s">
        <v>43</v>
      </c>
      <c r="Q8" s="11" t="s">
        <v>44</v>
      </c>
    </row>
    <row r="9" spans="1:17" ht="47.95" customHeight="1" x14ac:dyDescent="0.3">
      <c r="A9" s="9" t="s">
        <v>315</v>
      </c>
      <c r="B9" s="9" t="s">
        <v>5</v>
      </c>
      <c r="C9" s="9" t="s">
        <v>45</v>
      </c>
      <c r="D9" s="11" t="s">
        <v>46</v>
      </c>
      <c r="E9" s="13">
        <v>2023</v>
      </c>
      <c r="F9" s="9" t="s">
        <v>33</v>
      </c>
      <c r="G9" s="9" t="s">
        <v>30</v>
      </c>
      <c r="H9" s="9" t="s">
        <v>47</v>
      </c>
      <c r="I9" s="13">
        <v>1</v>
      </c>
      <c r="J9" s="11" t="s">
        <v>48</v>
      </c>
      <c r="K9" s="13">
        <v>2022</v>
      </c>
      <c r="L9" s="9" t="s">
        <v>33</v>
      </c>
      <c r="M9" s="9" t="s">
        <v>34</v>
      </c>
      <c r="N9" s="9" t="s">
        <v>35</v>
      </c>
      <c r="O9" s="15">
        <v>0.6734</v>
      </c>
      <c r="P9" s="11" t="s">
        <v>49</v>
      </c>
      <c r="Q9" s="11" t="s">
        <v>50</v>
      </c>
    </row>
    <row r="10" spans="1:17" ht="47.95" customHeight="1" x14ac:dyDescent="0.3">
      <c r="A10" s="9" t="s">
        <v>315</v>
      </c>
      <c r="B10" s="9" t="s">
        <v>4</v>
      </c>
      <c r="C10" s="9" t="s">
        <v>51</v>
      </c>
      <c r="D10" s="11" t="s">
        <v>52</v>
      </c>
      <c r="E10" s="13">
        <v>2023</v>
      </c>
      <c r="F10" s="9" t="s">
        <v>53</v>
      </c>
      <c r="G10" s="9" t="s">
        <v>40</v>
      </c>
      <c r="H10" s="9" t="s">
        <v>31</v>
      </c>
      <c r="I10" s="13">
        <v>12</v>
      </c>
      <c r="J10" s="11" t="s">
        <v>54</v>
      </c>
      <c r="K10" s="13">
        <v>2023</v>
      </c>
      <c r="L10" s="9" t="s">
        <v>53</v>
      </c>
      <c r="M10" s="9" t="s">
        <v>42</v>
      </c>
      <c r="N10" s="9" t="s">
        <v>35</v>
      </c>
      <c r="O10" s="15">
        <v>0.40910000000000002</v>
      </c>
      <c r="P10" s="11" t="s">
        <v>43</v>
      </c>
      <c r="Q10" s="11" t="s">
        <v>55</v>
      </c>
    </row>
    <row r="11" spans="1:17" ht="47.95" customHeight="1" x14ac:dyDescent="0.3">
      <c r="A11" s="9" t="s">
        <v>315</v>
      </c>
      <c r="B11" s="9" t="s">
        <v>3</v>
      </c>
      <c r="C11" s="9" t="s">
        <v>56</v>
      </c>
      <c r="D11" s="11" t="s">
        <v>57</v>
      </c>
      <c r="E11" s="13">
        <v>2023</v>
      </c>
      <c r="F11" s="9" t="s">
        <v>53</v>
      </c>
      <c r="G11" s="9" t="s">
        <v>40</v>
      </c>
      <c r="H11" s="9" t="s">
        <v>31</v>
      </c>
      <c r="I11" s="13">
        <v>4</v>
      </c>
      <c r="J11" s="11" t="s">
        <v>57</v>
      </c>
      <c r="K11" s="13">
        <v>2023</v>
      </c>
      <c r="L11" s="9" t="s">
        <v>53</v>
      </c>
      <c r="M11" s="9" t="s">
        <v>58</v>
      </c>
      <c r="N11" s="9" t="s">
        <v>35</v>
      </c>
      <c r="O11" s="15">
        <v>0.6</v>
      </c>
      <c r="P11" s="11" t="s">
        <v>59</v>
      </c>
      <c r="Q11" s="11" t="s">
        <v>60</v>
      </c>
    </row>
    <row r="12" spans="1:17" ht="47.95" customHeight="1" x14ac:dyDescent="0.3">
      <c r="A12" s="9" t="s">
        <v>315</v>
      </c>
      <c r="B12" s="9" t="s">
        <v>5</v>
      </c>
      <c r="C12" s="9" t="s">
        <v>61</v>
      </c>
      <c r="D12" s="11" t="s">
        <v>62</v>
      </c>
      <c r="E12" s="13">
        <v>2023</v>
      </c>
      <c r="F12" s="9" t="s">
        <v>63</v>
      </c>
      <c r="G12" s="9" t="s">
        <v>40</v>
      </c>
      <c r="H12" s="9" t="s">
        <v>31</v>
      </c>
      <c r="I12" s="13">
        <v>49</v>
      </c>
      <c r="J12" s="11" t="s">
        <v>64</v>
      </c>
      <c r="K12" s="13">
        <v>2023</v>
      </c>
      <c r="L12" s="9"/>
      <c r="M12" s="9" t="s">
        <v>42</v>
      </c>
      <c r="N12" s="9" t="s">
        <v>65</v>
      </c>
      <c r="O12" s="15">
        <v>0.68669999999999998</v>
      </c>
      <c r="P12" s="11" t="s">
        <v>43</v>
      </c>
      <c r="Q12" s="11" t="s">
        <v>66</v>
      </c>
    </row>
    <row r="13" spans="1:17" ht="47.95" customHeight="1" x14ac:dyDescent="0.3">
      <c r="A13" s="9" t="s">
        <v>316</v>
      </c>
      <c r="B13" s="9" t="s">
        <v>4</v>
      </c>
      <c r="C13" s="9" t="s">
        <v>67</v>
      </c>
      <c r="D13" s="11" t="s">
        <v>68</v>
      </c>
      <c r="E13" s="13">
        <v>2023</v>
      </c>
      <c r="F13" s="9" t="s">
        <v>63</v>
      </c>
      <c r="G13" s="9" t="s">
        <v>40</v>
      </c>
      <c r="H13" s="9" t="s">
        <v>31</v>
      </c>
      <c r="I13" s="13">
        <v>12</v>
      </c>
      <c r="J13" s="11" t="s">
        <v>69</v>
      </c>
      <c r="K13" s="13">
        <v>2025</v>
      </c>
      <c r="L13" s="9"/>
      <c r="M13" s="9" t="s">
        <v>42</v>
      </c>
      <c r="N13" s="9" t="s">
        <v>65</v>
      </c>
      <c r="O13" s="15">
        <v>0.1206</v>
      </c>
      <c r="P13" s="11" t="s">
        <v>70</v>
      </c>
      <c r="Q13" s="11" t="s">
        <v>71</v>
      </c>
    </row>
    <row r="14" spans="1:17" ht="47.95" customHeight="1" x14ac:dyDescent="0.3">
      <c r="A14" s="9" t="s">
        <v>316</v>
      </c>
      <c r="B14" s="9" t="s">
        <v>4</v>
      </c>
      <c r="C14" s="9" t="s">
        <v>72</v>
      </c>
      <c r="D14" s="11" t="s">
        <v>73</v>
      </c>
      <c r="E14" s="13">
        <v>2023</v>
      </c>
      <c r="F14" s="9" t="s">
        <v>63</v>
      </c>
      <c r="G14" s="9" t="s">
        <v>30</v>
      </c>
      <c r="H14" s="9" t="s">
        <v>74</v>
      </c>
      <c r="I14" s="13">
        <v>1</v>
      </c>
      <c r="J14" s="11" t="s">
        <v>75</v>
      </c>
      <c r="K14" s="13">
        <v>2015</v>
      </c>
      <c r="L14" s="9"/>
      <c r="M14" s="9" t="s">
        <v>76</v>
      </c>
      <c r="N14" s="9" t="s">
        <v>65</v>
      </c>
      <c r="O14" s="15">
        <v>0.59560000000000002</v>
      </c>
      <c r="P14" s="11" t="s">
        <v>77</v>
      </c>
      <c r="Q14" s="11" t="s">
        <v>78</v>
      </c>
    </row>
    <row r="15" spans="1:17" ht="47.95" customHeight="1" x14ac:dyDescent="0.3">
      <c r="A15" s="9" t="s">
        <v>315</v>
      </c>
      <c r="B15" s="9" t="s">
        <v>3</v>
      </c>
      <c r="C15" s="9" t="s">
        <v>79</v>
      </c>
      <c r="D15" s="11" t="s">
        <v>80</v>
      </c>
      <c r="E15" s="13">
        <v>2023</v>
      </c>
      <c r="F15" s="9" t="s">
        <v>63</v>
      </c>
      <c r="G15" s="9" t="s">
        <v>81</v>
      </c>
      <c r="H15" s="9" t="s">
        <v>74</v>
      </c>
      <c r="I15" s="13">
        <v>1</v>
      </c>
      <c r="J15" s="11" t="s">
        <v>82</v>
      </c>
      <c r="K15" s="13">
        <v>2023</v>
      </c>
      <c r="L15" s="9" t="s">
        <v>63</v>
      </c>
      <c r="M15" s="9" t="s">
        <v>83</v>
      </c>
      <c r="N15" s="9" t="s">
        <v>35</v>
      </c>
      <c r="O15" s="15">
        <v>0.6</v>
      </c>
      <c r="P15" s="11" t="s">
        <v>84</v>
      </c>
      <c r="Q15" s="11" t="s">
        <v>85</v>
      </c>
    </row>
    <row r="16" spans="1:17" ht="47.95" customHeight="1" x14ac:dyDescent="0.3">
      <c r="A16" s="9" t="s">
        <v>315</v>
      </c>
      <c r="B16" s="9" t="s">
        <v>4</v>
      </c>
      <c r="C16" s="9" t="s">
        <v>86</v>
      </c>
      <c r="D16" s="11" t="s">
        <v>87</v>
      </c>
      <c r="E16" s="13">
        <v>2024</v>
      </c>
      <c r="F16" s="9" t="s">
        <v>29</v>
      </c>
      <c r="G16" s="9" t="s">
        <v>40</v>
      </c>
      <c r="H16" s="9" t="s">
        <v>31</v>
      </c>
      <c r="I16" s="13">
        <v>12</v>
      </c>
      <c r="J16" s="11" t="s">
        <v>88</v>
      </c>
      <c r="K16" s="13">
        <v>2024</v>
      </c>
      <c r="L16" s="9" t="s">
        <v>29</v>
      </c>
      <c r="M16" s="9" t="s">
        <v>42</v>
      </c>
      <c r="N16" s="9" t="s">
        <v>35</v>
      </c>
      <c r="O16" s="15">
        <v>0.3725</v>
      </c>
      <c r="P16" s="11" t="s">
        <v>43</v>
      </c>
      <c r="Q16" s="11" t="s">
        <v>89</v>
      </c>
    </row>
    <row r="17" spans="1:17" ht="47.95" customHeight="1" x14ac:dyDescent="0.3">
      <c r="A17" s="9" t="s">
        <v>315</v>
      </c>
      <c r="B17" s="9" t="s">
        <v>4</v>
      </c>
      <c r="C17" s="9" t="s">
        <v>90</v>
      </c>
      <c r="D17" s="11" t="s">
        <v>91</v>
      </c>
      <c r="E17" s="13">
        <v>2024</v>
      </c>
      <c r="F17" s="9" t="s">
        <v>29</v>
      </c>
      <c r="G17" s="9" t="s">
        <v>40</v>
      </c>
      <c r="H17" s="9" t="s">
        <v>47</v>
      </c>
      <c r="I17" s="13">
        <v>12</v>
      </c>
      <c r="J17" s="11" t="s">
        <v>92</v>
      </c>
      <c r="K17" s="13">
        <v>2024</v>
      </c>
      <c r="L17" s="9"/>
      <c r="M17" s="9" t="s">
        <v>42</v>
      </c>
      <c r="N17" s="9" t="s">
        <v>65</v>
      </c>
      <c r="O17" s="15">
        <v>0.28760000000000002</v>
      </c>
      <c r="P17" s="11" t="s">
        <v>43</v>
      </c>
      <c r="Q17" s="11" t="s">
        <v>93</v>
      </c>
    </row>
    <row r="18" spans="1:17" ht="47.95" customHeight="1" x14ac:dyDescent="0.3">
      <c r="A18" s="9" t="s">
        <v>316</v>
      </c>
      <c r="B18" s="9" t="s">
        <v>5</v>
      </c>
      <c r="C18" s="9" t="s">
        <v>94</v>
      </c>
      <c r="D18" s="11" t="s">
        <v>95</v>
      </c>
      <c r="E18" s="13">
        <v>2024</v>
      </c>
      <c r="F18" s="9" t="s">
        <v>33</v>
      </c>
      <c r="G18" s="9" t="s">
        <v>40</v>
      </c>
      <c r="H18" s="9" t="s">
        <v>31</v>
      </c>
      <c r="I18" s="13">
        <v>12</v>
      </c>
      <c r="J18" s="11" t="s">
        <v>96</v>
      </c>
      <c r="K18" s="13">
        <v>2004</v>
      </c>
      <c r="L18" s="9"/>
      <c r="M18" s="9" t="s">
        <v>42</v>
      </c>
      <c r="N18" s="9" t="s">
        <v>65</v>
      </c>
      <c r="O18" s="15">
        <v>0.71499999999999997</v>
      </c>
      <c r="P18" s="11" t="s">
        <v>97</v>
      </c>
      <c r="Q18" s="11" t="s">
        <v>98</v>
      </c>
    </row>
    <row r="19" spans="1:17" ht="47.95" customHeight="1" x14ac:dyDescent="0.3">
      <c r="A19" s="9" t="s">
        <v>315</v>
      </c>
      <c r="B19" s="9" t="s">
        <v>3</v>
      </c>
      <c r="C19" s="9" t="s">
        <v>99</v>
      </c>
      <c r="D19" s="11" t="s">
        <v>100</v>
      </c>
      <c r="E19" s="13">
        <v>2024</v>
      </c>
      <c r="F19" s="9" t="s">
        <v>53</v>
      </c>
      <c r="G19" s="9" t="s">
        <v>40</v>
      </c>
      <c r="H19" s="9" t="s">
        <v>101</v>
      </c>
      <c r="I19" s="13">
        <v>12</v>
      </c>
      <c r="J19" s="11" t="s">
        <v>102</v>
      </c>
      <c r="K19" s="13">
        <v>2024</v>
      </c>
      <c r="L19" s="9"/>
      <c r="M19" s="9" t="s">
        <v>81</v>
      </c>
      <c r="N19" s="9" t="s">
        <v>65</v>
      </c>
      <c r="O19" s="15">
        <v>0.52</v>
      </c>
      <c r="P19" s="11" t="s">
        <v>103</v>
      </c>
      <c r="Q19" s="11" t="s">
        <v>104</v>
      </c>
    </row>
    <row r="20" spans="1:17" ht="47.95" customHeight="1" x14ac:dyDescent="0.3">
      <c r="A20" s="9" t="s">
        <v>315</v>
      </c>
      <c r="B20" s="9" t="s">
        <v>4</v>
      </c>
      <c r="C20" s="9" t="s">
        <v>105</v>
      </c>
      <c r="D20" s="11" t="s">
        <v>106</v>
      </c>
      <c r="E20" s="13">
        <v>2024</v>
      </c>
      <c r="F20" s="9" t="s">
        <v>53</v>
      </c>
      <c r="G20" s="9" t="s">
        <v>40</v>
      </c>
      <c r="H20" s="9" t="s">
        <v>31</v>
      </c>
      <c r="I20" s="13">
        <v>12</v>
      </c>
      <c r="J20" s="11" t="s">
        <v>107</v>
      </c>
      <c r="K20" s="13">
        <v>2024</v>
      </c>
      <c r="L20" s="9"/>
      <c r="M20" s="9" t="s">
        <v>108</v>
      </c>
      <c r="N20" s="9" t="s">
        <v>65</v>
      </c>
      <c r="O20" s="15">
        <v>0.34799999999999998</v>
      </c>
      <c r="P20" s="11" t="s">
        <v>109</v>
      </c>
      <c r="Q20" s="11" t="s">
        <v>110</v>
      </c>
    </row>
    <row r="21" spans="1:17" ht="47.95" customHeight="1" x14ac:dyDescent="0.3">
      <c r="A21" s="9" t="s">
        <v>315</v>
      </c>
      <c r="B21" s="9" t="s">
        <v>3</v>
      </c>
      <c r="C21" s="9" t="s">
        <v>111</v>
      </c>
      <c r="D21" s="11" t="s">
        <v>112</v>
      </c>
      <c r="E21" s="13">
        <v>2024</v>
      </c>
      <c r="F21" s="9" t="s">
        <v>53</v>
      </c>
      <c r="G21" s="9" t="s">
        <v>40</v>
      </c>
      <c r="H21" s="9" t="s">
        <v>113</v>
      </c>
      <c r="I21" s="13">
        <v>6</v>
      </c>
      <c r="J21" s="11" t="s">
        <v>114</v>
      </c>
      <c r="K21" s="13">
        <v>2024</v>
      </c>
      <c r="L21" s="9" t="s">
        <v>53</v>
      </c>
      <c r="M21" s="9" t="s">
        <v>58</v>
      </c>
      <c r="N21" s="9" t="s">
        <v>35</v>
      </c>
      <c r="O21" s="15">
        <v>0.6</v>
      </c>
      <c r="P21" s="11" t="s">
        <v>59</v>
      </c>
      <c r="Q21" s="11" t="s">
        <v>115</v>
      </c>
    </row>
    <row r="22" spans="1:17" ht="47.95" customHeight="1" x14ac:dyDescent="0.3">
      <c r="A22" s="9" t="s">
        <v>316</v>
      </c>
      <c r="B22" s="9" t="s">
        <v>4</v>
      </c>
      <c r="C22" s="9" t="s">
        <v>116</v>
      </c>
      <c r="D22" s="11" t="s">
        <v>117</v>
      </c>
      <c r="E22" s="13">
        <v>2023</v>
      </c>
      <c r="F22" s="9" t="s">
        <v>63</v>
      </c>
      <c r="G22" s="9" t="s">
        <v>30</v>
      </c>
      <c r="H22" s="9" t="s">
        <v>31</v>
      </c>
      <c r="I22" s="13">
        <v>1</v>
      </c>
      <c r="J22" s="11" t="s">
        <v>118</v>
      </c>
      <c r="K22" s="13">
        <v>2024</v>
      </c>
      <c r="L22" s="9"/>
      <c r="M22" s="9" t="s">
        <v>58</v>
      </c>
      <c r="N22" s="9" t="s">
        <v>65</v>
      </c>
      <c r="O22" s="15">
        <v>0.20430000000000001</v>
      </c>
      <c r="P22" s="11" t="s">
        <v>119</v>
      </c>
      <c r="Q22" s="11" t="s">
        <v>120</v>
      </c>
    </row>
    <row r="23" spans="1:17" ht="47.95" customHeight="1" x14ac:dyDescent="0.3">
      <c r="A23" s="9" t="s">
        <v>315</v>
      </c>
      <c r="B23" s="9" t="s">
        <v>3</v>
      </c>
      <c r="C23" s="9" t="s">
        <v>121</v>
      </c>
      <c r="D23" s="11" t="s">
        <v>122</v>
      </c>
      <c r="E23" s="13">
        <v>2024</v>
      </c>
      <c r="F23" s="9" t="s">
        <v>63</v>
      </c>
      <c r="G23" s="9" t="s">
        <v>40</v>
      </c>
      <c r="H23" s="9" t="s">
        <v>31</v>
      </c>
      <c r="I23" s="13">
        <v>12</v>
      </c>
      <c r="J23" s="11" t="s">
        <v>122</v>
      </c>
      <c r="K23" s="13">
        <v>2024</v>
      </c>
      <c r="L23" s="9" t="s">
        <v>63</v>
      </c>
      <c r="M23" s="9" t="s">
        <v>58</v>
      </c>
      <c r="N23" s="9" t="s">
        <v>35</v>
      </c>
      <c r="O23" s="15">
        <v>0.6</v>
      </c>
      <c r="P23" s="11" t="s">
        <v>59</v>
      </c>
      <c r="Q23" s="11" t="s">
        <v>123</v>
      </c>
    </row>
    <row r="24" spans="1:17" ht="47.95" customHeight="1" x14ac:dyDescent="0.3">
      <c r="A24" s="9" t="s">
        <v>316</v>
      </c>
      <c r="B24" s="9" t="s">
        <v>4</v>
      </c>
      <c r="C24" s="9" t="s">
        <v>124</v>
      </c>
      <c r="D24" s="11" t="s">
        <v>125</v>
      </c>
      <c r="E24" s="13">
        <v>2024</v>
      </c>
      <c r="F24" s="9" t="s">
        <v>63</v>
      </c>
      <c r="G24" s="9" t="s">
        <v>40</v>
      </c>
      <c r="H24" s="9" t="s">
        <v>113</v>
      </c>
      <c r="I24" s="13">
        <v>12</v>
      </c>
      <c r="J24" s="11" t="s">
        <v>126</v>
      </c>
      <c r="K24" s="13">
        <v>2016</v>
      </c>
      <c r="L24" s="9"/>
      <c r="M24" s="9" t="s">
        <v>42</v>
      </c>
      <c r="N24" s="9" t="s">
        <v>65</v>
      </c>
      <c r="O24" s="15">
        <v>0.47510000000000002</v>
      </c>
      <c r="P24" s="11" t="s">
        <v>127</v>
      </c>
      <c r="Q24" s="11" t="s">
        <v>128</v>
      </c>
    </row>
    <row r="25" spans="1:17" ht="47.95" customHeight="1" x14ac:dyDescent="0.3">
      <c r="A25" s="9" t="s">
        <v>316</v>
      </c>
      <c r="B25" s="9" t="s">
        <v>5</v>
      </c>
      <c r="C25" s="9" t="s">
        <v>129</v>
      </c>
      <c r="D25" s="11" t="s">
        <v>130</v>
      </c>
      <c r="E25" s="13">
        <v>2024</v>
      </c>
      <c r="F25" s="9" t="s">
        <v>63</v>
      </c>
      <c r="G25" s="9" t="s">
        <v>40</v>
      </c>
      <c r="H25" s="9" t="s">
        <v>131</v>
      </c>
      <c r="I25" s="13">
        <v>12</v>
      </c>
      <c r="J25" s="11" t="s">
        <v>132</v>
      </c>
      <c r="K25" s="13">
        <v>0</v>
      </c>
      <c r="L25" s="9"/>
      <c r="M25" s="9" t="s">
        <v>42</v>
      </c>
      <c r="N25" s="9" t="s">
        <v>35</v>
      </c>
      <c r="O25" s="15">
        <v>0.75149999999999995</v>
      </c>
      <c r="P25" s="11" t="s">
        <v>133</v>
      </c>
      <c r="Q25" s="11" t="s">
        <v>134</v>
      </c>
    </row>
    <row r="26" spans="1:17" ht="47.95" customHeight="1" x14ac:dyDescent="0.3">
      <c r="A26" s="9" t="s">
        <v>315</v>
      </c>
      <c r="B26" s="9" t="s">
        <v>3</v>
      </c>
      <c r="C26" s="9" t="s">
        <v>135</v>
      </c>
      <c r="D26" s="11" t="s">
        <v>136</v>
      </c>
      <c r="E26" s="13">
        <v>2024</v>
      </c>
      <c r="F26" s="9" t="s">
        <v>63</v>
      </c>
      <c r="G26" s="9" t="s">
        <v>40</v>
      </c>
      <c r="H26" s="9" t="s">
        <v>31</v>
      </c>
      <c r="I26" s="13">
        <v>12</v>
      </c>
      <c r="J26" s="11" t="s">
        <v>136</v>
      </c>
      <c r="K26" s="13">
        <v>2024</v>
      </c>
      <c r="L26" s="9" t="s">
        <v>63</v>
      </c>
      <c r="M26" s="9" t="s">
        <v>58</v>
      </c>
      <c r="N26" s="9" t="s">
        <v>35</v>
      </c>
      <c r="O26" s="15">
        <v>0.6</v>
      </c>
      <c r="P26" s="11" t="s">
        <v>59</v>
      </c>
      <c r="Q26" s="11" t="s">
        <v>137</v>
      </c>
    </row>
    <row r="27" spans="1:17" ht="47.95" customHeight="1" x14ac:dyDescent="0.3">
      <c r="A27" s="9" t="s">
        <v>315</v>
      </c>
      <c r="B27" s="9" t="s">
        <v>4</v>
      </c>
      <c r="C27" s="9" t="s">
        <v>138</v>
      </c>
      <c r="D27" s="11" t="s">
        <v>139</v>
      </c>
      <c r="E27" s="13">
        <v>2025</v>
      </c>
      <c r="F27" s="9" t="s">
        <v>29</v>
      </c>
      <c r="G27" s="9" t="s">
        <v>40</v>
      </c>
      <c r="H27" s="9" t="s">
        <v>31</v>
      </c>
      <c r="I27" s="13">
        <v>12</v>
      </c>
      <c r="J27" s="11" t="s">
        <v>140</v>
      </c>
      <c r="K27" s="13">
        <v>2025</v>
      </c>
      <c r="L27" s="9" t="s">
        <v>29</v>
      </c>
      <c r="M27" s="9" t="s">
        <v>42</v>
      </c>
      <c r="N27" s="9" t="s">
        <v>35</v>
      </c>
      <c r="O27" s="15">
        <v>0.63619999999999999</v>
      </c>
      <c r="P27" s="11" t="s">
        <v>43</v>
      </c>
      <c r="Q27" s="11" t="s">
        <v>141</v>
      </c>
    </row>
    <row r="28" spans="1:17" ht="47.95" customHeight="1" x14ac:dyDescent="0.3">
      <c r="A28" s="9" t="s">
        <v>315</v>
      </c>
      <c r="B28" s="9" t="s">
        <v>4</v>
      </c>
      <c r="C28" s="9" t="s">
        <v>142</v>
      </c>
      <c r="D28" s="11" t="s">
        <v>143</v>
      </c>
      <c r="E28" s="13">
        <v>2025</v>
      </c>
      <c r="F28" s="9" t="s">
        <v>29</v>
      </c>
      <c r="G28" s="9" t="s">
        <v>40</v>
      </c>
      <c r="H28" s="9" t="s">
        <v>31</v>
      </c>
      <c r="I28" s="13">
        <v>12</v>
      </c>
      <c r="J28" s="11" t="s">
        <v>144</v>
      </c>
      <c r="K28" s="13">
        <v>2025</v>
      </c>
      <c r="L28" s="9" t="s">
        <v>29</v>
      </c>
      <c r="M28" s="9" t="s">
        <v>42</v>
      </c>
      <c r="N28" s="9" t="s">
        <v>35</v>
      </c>
      <c r="O28" s="15">
        <v>0.37140000000000001</v>
      </c>
      <c r="P28" s="11" t="s">
        <v>43</v>
      </c>
      <c r="Q28" s="11" t="s">
        <v>145</v>
      </c>
    </row>
    <row r="29" spans="1:17" ht="47.95" customHeight="1" x14ac:dyDescent="0.3">
      <c r="A29" s="9" t="s">
        <v>315</v>
      </c>
      <c r="B29" s="9" t="s">
        <v>3</v>
      </c>
      <c r="C29" s="9" t="s">
        <v>146</v>
      </c>
      <c r="D29" s="11" t="s">
        <v>147</v>
      </c>
      <c r="E29" s="13">
        <v>2025</v>
      </c>
      <c r="F29" s="9" t="s">
        <v>29</v>
      </c>
      <c r="G29" s="9" t="s">
        <v>40</v>
      </c>
      <c r="H29" s="9" t="s">
        <v>31</v>
      </c>
      <c r="I29" s="13">
        <v>12</v>
      </c>
      <c r="J29" s="11" t="s">
        <v>148</v>
      </c>
      <c r="K29" s="13">
        <v>2025</v>
      </c>
      <c r="L29" s="9" t="s">
        <v>29</v>
      </c>
      <c r="M29" s="9" t="s">
        <v>58</v>
      </c>
      <c r="N29" s="9" t="s">
        <v>35</v>
      </c>
      <c r="O29" s="15">
        <v>0.6</v>
      </c>
      <c r="P29" s="11" t="s">
        <v>59</v>
      </c>
      <c r="Q29" s="11" t="s">
        <v>149</v>
      </c>
    </row>
    <row r="30" spans="1:17" ht="47.95" customHeight="1" x14ac:dyDescent="0.3">
      <c r="A30" s="9" t="s">
        <v>315</v>
      </c>
      <c r="B30" s="9" t="s">
        <v>4</v>
      </c>
      <c r="C30" s="9" t="s">
        <v>150</v>
      </c>
      <c r="D30" s="11" t="s">
        <v>151</v>
      </c>
      <c r="E30" s="13">
        <v>2025</v>
      </c>
      <c r="F30" s="9" t="s">
        <v>33</v>
      </c>
      <c r="G30" s="9" t="s">
        <v>40</v>
      </c>
      <c r="H30" s="9" t="s">
        <v>31</v>
      </c>
      <c r="I30" s="13">
        <v>12</v>
      </c>
      <c r="J30" s="11" t="s">
        <v>152</v>
      </c>
      <c r="K30" s="13">
        <v>2025</v>
      </c>
      <c r="L30" s="9" t="s">
        <v>33</v>
      </c>
      <c r="M30" s="9" t="s">
        <v>42</v>
      </c>
      <c r="N30" s="9" t="s">
        <v>35</v>
      </c>
      <c r="O30" s="15">
        <v>0.51070000000000004</v>
      </c>
      <c r="P30" s="11" t="s">
        <v>43</v>
      </c>
      <c r="Q30" s="11" t="s">
        <v>153</v>
      </c>
    </row>
    <row r="31" spans="1:17" ht="47.95" customHeight="1" x14ac:dyDescent="0.3">
      <c r="A31" s="9" t="s">
        <v>316</v>
      </c>
      <c r="B31" s="9" t="s">
        <v>4</v>
      </c>
      <c r="C31" s="9" t="s">
        <v>154</v>
      </c>
      <c r="D31" s="11" t="s">
        <v>155</v>
      </c>
      <c r="E31" s="13">
        <v>2025</v>
      </c>
      <c r="F31" s="9" t="s">
        <v>33</v>
      </c>
      <c r="G31" s="9" t="s">
        <v>40</v>
      </c>
      <c r="H31" s="9" t="s">
        <v>31</v>
      </c>
      <c r="I31" s="13">
        <v>12</v>
      </c>
      <c r="J31" s="11" t="s">
        <v>156</v>
      </c>
      <c r="K31" s="13">
        <v>2025</v>
      </c>
      <c r="L31" s="9" t="s">
        <v>33</v>
      </c>
      <c r="M31" s="9" t="s">
        <v>42</v>
      </c>
      <c r="N31" s="9" t="s">
        <v>35</v>
      </c>
      <c r="O31" s="15">
        <v>0.53769999999999996</v>
      </c>
      <c r="P31" s="11" t="s">
        <v>43</v>
      </c>
      <c r="Q31" s="11" t="s">
        <v>157</v>
      </c>
    </row>
    <row r="32" spans="1:17" ht="47.95" customHeight="1" x14ac:dyDescent="0.3">
      <c r="A32" s="9" t="s">
        <v>315</v>
      </c>
      <c r="B32" s="9" t="s">
        <v>4</v>
      </c>
      <c r="C32" s="9" t="s">
        <v>158</v>
      </c>
      <c r="D32" s="11" t="s">
        <v>159</v>
      </c>
      <c r="E32" s="13">
        <v>2025</v>
      </c>
      <c r="F32" s="9" t="s">
        <v>33</v>
      </c>
      <c r="G32" s="9" t="s">
        <v>40</v>
      </c>
      <c r="H32" s="9" t="s">
        <v>31</v>
      </c>
      <c r="I32" s="13">
        <v>12</v>
      </c>
      <c r="J32" s="11" t="s">
        <v>160</v>
      </c>
      <c r="K32" s="13">
        <v>2025</v>
      </c>
      <c r="L32" s="9" t="s">
        <v>33</v>
      </c>
      <c r="M32" s="9" t="s">
        <v>58</v>
      </c>
      <c r="N32" s="9" t="s">
        <v>35</v>
      </c>
      <c r="O32" s="15">
        <v>7.0000000000000007E-2</v>
      </c>
      <c r="P32" s="11" t="s">
        <v>161</v>
      </c>
      <c r="Q32" s="11" t="s">
        <v>162</v>
      </c>
    </row>
    <row r="33" spans="1:17" ht="47.95" customHeight="1" x14ac:dyDescent="0.3">
      <c r="A33" s="9" t="s">
        <v>315</v>
      </c>
      <c r="B33" s="9" t="s">
        <v>5</v>
      </c>
      <c r="C33" s="9" t="s">
        <v>163</v>
      </c>
      <c r="D33" s="11" t="s">
        <v>164</v>
      </c>
      <c r="E33" s="13">
        <v>2025</v>
      </c>
      <c r="F33" s="9" t="s">
        <v>33</v>
      </c>
      <c r="G33" s="9" t="s">
        <v>30</v>
      </c>
      <c r="H33" s="9" t="s">
        <v>101</v>
      </c>
      <c r="I33" s="13">
        <v>1</v>
      </c>
      <c r="J33" s="11" t="s">
        <v>165</v>
      </c>
      <c r="K33" s="13">
        <v>2024</v>
      </c>
      <c r="L33" s="9"/>
      <c r="M33" s="9" t="s">
        <v>76</v>
      </c>
      <c r="N33" s="9" t="s">
        <v>65</v>
      </c>
      <c r="O33" s="15">
        <v>0.6573</v>
      </c>
      <c r="P33" s="11" t="s">
        <v>166</v>
      </c>
      <c r="Q33" s="11" t="s">
        <v>167</v>
      </c>
    </row>
    <row r="34" spans="1:17" ht="47.95" customHeight="1" x14ac:dyDescent="0.3">
      <c r="A34" s="9" t="s">
        <v>315</v>
      </c>
      <c r="B34" s="9" t="s">
        <v>4</v>
      </c>
      <c r="C34" s="9" t="s">
        <v>168</v>
      </c>
      <c r="D34" s="11" t="s">
        <v>169</v>
      </c>
      <c r="E34" s="13">
        <v>2025</v>
      </c>
      <c r="F34" s="9" t="s">
        <v>33</v>
      </c>
      <c r="G34" s="9" t="s">
        <v>30</v>
      </c>
      <c r="H34" s="9" t="s">
        <v>113</v>
      </c>
      <c r="I34" s="13">
        <v>1</v>
      </c>
      <c r="J34" s="11" t="s">
        <v>170</v>
      </c>
      <c r="K34" s="13">
        <v>2024</v>
      </c>
      <c r="L34" s="9"/>
      <c r="M34" s="9" t="s">
        <v>76</v>
      </c>
      <c r="N34" s="9" t="s">
        <v>65</v>
      </c>
      <c r="O34" s="15">
        <v>0.53190000000000004</v>
      </c>
      <c r="P34" s="11" t="s">
        <v>171</v>
      </c>
      <c r="Q34" s="11" t="s">
        <v>172</v>
      </c>
    </row>
    <row r="35" spans="1:17" ht="47.95" customHeight="1" x14ac:dyDescent="0.3">
      <c r="A35" s="9" t="s">
        <v>315</v>
      </c>
      <c r="B35" s="9" t="s">
        <v>3</v>
      </c>
      <c r="C35" s="9" t="s">
        <v>173</v>
      </c>
      <c r="D35" s="11" t="s">
        <v>174</v>
      </c>
      <c r="E35" s="13">
        <v>2025</v>
      </c>
      <c r="F35" s="9" t="s">
        <v>53</v>
      </c>
      <c r="G35" s="9" t="s">
        <v>40</v>
      </c>
      <c r="H35" s="9" t="s">
        <v>31</v>
      </c>
      <c r="I35" s="13">
        <v>12</v>
      </c>
      <c r="J35" s="11" t="s">
        <v>174</v>
      </c>
      <c r="K35" s="13">
        <v>2025</v>
      </c>
      <c r="L35" s="9" t="s">
        <v>53</v>
      </c>
      <c r="M35" s="9" t="s">
        <v>58</v>
      </c>
      <c r="N35" s="9" t="s">
        <v>35</v>
      </c>
      <c r="O35" s="15">
        <v>0.6</v>
      </c>
      <c r="P35" s="11" t="s">
        <v>59</v>
      </c>
      <c r="Q35" s="11" t="s">
        <v>175</v>
      </c>
    </row>
    <row r="36" spans="1:17" ht="47.95" customHeight="1" x14ac:dyDescent="0.3">
      <c r="A36" s="9" t="s">
        <v>315</v>
      </c>
      <c r="B36" s="9" t="s">
        <v>3</v>
      </c>
      <c r="C36" s="9" t="s">
        <v>176</v>
      </c>
      <c r="D36" s="11" t="s">
        <v>177</v>
      </c>
      <c r="E36" s="13">
        <v>2025</v>
      </c>
      <c r="F36" s="9" t="s">
        <v>53</v>
      </c>
      <c r="G36" s="9" t="s">
        <v>40</v>
      </c>
      <c r="H36" s="9" t="s">
        <v>101</v>
      </c>
      <c r="I36" s="13">
        <v>12</v>
      </c>
      <c r="J36" s="11" t="s">
        <v>177</v>
      </c>
      <c r="K36" s="13">
        <v>2025</v>
      </c>
      <c r="L36" s="9" t="s">
        <v>53</v>
      </c>
      <c r="M36" s="9" t="s">
        <v>58</v>
      </c>
      <c r="N36" s="9" t="s">
        <v>35</v>
      </c>
      <c r="O36" s="15">
        <v>0.6</v>
      </c>
      <c r="P36" s="11" t="s">
        <v>59</v>
      </c>
      <c r="Q36" s="11" t="s">
        <v>178</v>
      </c>
    </row>
    <row r="37" spans="1:17" ht="47.95" customHeight="1" x14ac:dyDescent="0.3">
      <c r="A37" s="9" t="s">
        <v>315</v>
      </c>
      <c r="B37" s="9" t="s">
        <v>4</v>
      </c>
      <c r="C37" s="9" t="s">
        <v>179</v>
      </c>
      <c r="D37" s="11" t="s">
        <v>180</v>
      </c>
      <c r="E37" s="13">
        <v>2025</v>
      </c>
      <c r="F37" s="9" t="s">
        <v>53</v>
      </c>
      <c r="G37" s="9" t="s">
        <v>40</v>
      </c>
      <c r="H37" s="9" t="s">
        <v>101</v>
      </c>
      <c r="I37" s="13">
        <v>12</v>
      </c>
      <c r="J37" s="11" t="s">
        <v>181</v>
      </c>
      <c r="K37" s="13">
        <v>2025</v>
      </c>
      <c r="L37" s="9" t="s">
        <v>53</v>
      </c>
      <c r="M37" s="9" t="s">
        <v>42</v>
      </c>
      <c r="N37" s="9" t="s">
        <v>35</v>
      </c>
      <c r="O37" s="15">
        <v>0.44490000000000002</v>
      </c>
      <c r="P37" s="11" t="s">
        <v>182</v>
      </c>
      <c r="Q37" s="11" t="s">
        <v>183</v>
      </c>
    </row>
    <row r="38" spans="1:17" ht="47.95" customHeight="1" x14ac:dyDescent="0.3">
      <c r="A38" s="9" t="s">
        <v>315</v>
      </c>
      <c r="B38" s="9" t="s">
        <v>4</v>
      </c>
      <c r="C38" s="9" t="s">
        <v>184</v>
      </c>
      <c r="D38" s="11" t="s">
        <v>185</v>
      </c>
      <c r="E38" s="13">
        <v>2025</v>
      </c>
      <c r="F38" s="9" t="s">
        <v>53</v>
      </c>
      <c r="G38" s="9" t="s">
        <v>40</v>
      </c>
      <c r="H38" s="9" t="s">
        <v>101</v>
      </c>
      <c r="I38" s="13">
        <v>12</v>
      </c>
      <c r="J38" s="11" t="s">
        <v>186</v>
      </c>
      <c r="K38" s="13">
        <v>2025</v>
      </c>
      <c r="L38" s="9" t="s">
        <v>53</v>
      </c>
      <c r="M38" s="9" t="s">
        <v>42</v>
      </c>
      <c r="N38" s="9" t="s">
        <v>35</v>
      </c>
      <c r="O38" s="15">
        <v>0.2742</v>
      </c>
      <c r="P38" s="11" t="s">
        <v>182</v>
      </c>
      <c r="Q38" s="11" t="s">
        <v>187</v>
      </c>
    </row>
    <row r="39" spans="1:17" ht="47.95" customHeight="1" x14ac:dyDescent="0.3">
      <c r="A39" s="9" t="s">
        <v>315</v>
      </c>
      <c r="B39" s="9" t="s">
        <v>4</v>
      </c>
      <c r="C39" s="9" t="s">
        <v>188</v>
      </c>
      <c r="D39" s="11" t="s">
        <v>189</v>
      </c>
      <c r="E39" s="13">
        <v>2025</v>
      </c>
      <c r="F39" s="9" t="s">
        <v>53</v>
      </c>
      <c r="G39" s="9" t="s">
        <v>40</v>
      </c>
      <c r="H39" s="9" t="s">
        <v>31</v>
      </c>
      <c r="I39" s="13">
        <v>12</v>
      </c>
      <c r="J39" s="11" t="s">
        <v>190</v>
      </c>
      <c r="K39" s="13">
        <v>2025</v>
      </c>
      <c r="L39" s="9"/>
      <c r="M39" s="9" t="s">
        <v>42</v>
      </c>
      <c r="N39" s="9" t="s">
        <v>65</v>
      </c>
      <c r="O39" s="15">
        <v>0.30109999999999998</v>
      </c>
      <c r="P39" s="11" t="s">
        <v>43</v>
      </c>
      <c r="Q39" s="11" t="s">
        <v>191</v>
      </c>
    </row>
    <row r="40" spans="1:17" ht="47.95" customHeight="1" x14ac:dyDescent="0.3">
      <c r="A40" s="9" t="s">
        <v>315</v>
      </c>
      <c r="B40" s="9" t="s">
        <v>3</v>
      </c>
      <c r="C40" s="9" t="s">
        <v>192</v>
      </c>
      <c r="D40" s="11" t="s">
        <v>193</v>
      </c>
      <c r="E40" s="13">
        <v>2025</v>
      </c>
      <c r="F40" s="9" t="s">
        <v>53</v>
      </c>
      <c r="G40" s="9" t="s">
        <v>40</v>
      </c>
      <c r="H40" s="9" t="s">
        <v>31</v>
      </c>
      <c r="I40" s="13">
        <v>12</v>
      </c>
      <c r="J40" s="11" t="s">
        <v>193</v>
      </c>
      <c r="K40" s="13">
        <v>2025</v>
      </c>
      <c r="L40" s="9" t="s">
        <v>53</v>
      </c>
      <c r="M40" s="9" t="s">
        <v>58</v>
      </c>
      <c r="N40" s="9" t="s">
        <v>35</v>
      </c>
      <c r="O40" s="15">
        <v>0.6</v>
      </c>
      <c r="P40" s="11" t="s">
        <v>59</v>
      </c>
      <c r="Q40" s="11" t="s">
        <v>194</v>
      </c>
    </row>
    <row r="41" spans="1:17" ht="47.95" customHeight="1" x14ac:dyDescent="0.3">
      <c r="A41" s="9" t="s">
        <v>315</v>
      </c>
      <c r="B41" s="9" t="s">
        <v>5</v>
      </c>
      <c r="C41" s="9" t="s">
        <v>195</v>
      </c>
      <c r="D41" s="11" t="s">
        <v>196</v>
      </c>
      <c r="E41" s="13">
        <v>2025</v>
      </c>
      <c r="F41" s="9" t="s">
        <v>53</v>
      </c>
      <c r="G41" s="9" t="s">
        <v>40</v>
      </c>
      <c r="H41" s="9" t="s">
        <v>31</v>
      </c>
      <c r="I41" s="13">
        <v>12</v>
      </c>
      <c r="J41" s="11" t="s">
        <v>197</v>
      </c>
      <c r="K41" s="13">
        <v>2025</v>
      </c>
      <c r="L41" s="9"/>
      <c r="M41" s="9" t="s">
        <v>42</v>
      </c>
      <c r="N41" s="9" t="s">
        <v>65</v>
      </c>
      <c r="O41" s="15">
        <v>0.73350000000000004</v>
      </c>
      <c r="P41" s="11" t="s">
        <v>43</v>
      </c>
      <c r="Q41" s="11" t="s">
        <v>198</v>
      </c>
    </row>
    <row r="42" spans="1:17" ht="47.95" customHeight="1" x14ac:dyDescent="0.3">
      <c r="A42" s="9" t="s">
        <v>315</v>
      </c>
      <c r="B42" s="9" t="s">
        <v>3</v>
      </c>
      <c r="C42" s="9" t="s">
        <v>199</v>
      </c>
      <c r="D42" s="11" t="s">
        <v>200</v>
      </c>
      <c r="E42" s="13">
        <v>2025</v>
      </c>
      <c r="F42" s="9" t="s">
        <v>53</v>
      </c>
      <c r="G42" s="9" t="s">
        <v>40</v>
      </c>
      <c r="H42" s="9" t="s">
        <v>31</v>
      </c>
      <c r="I42" s="13">
        <v>12</v>
      </c>
      <c r="J42" s="11" t="s">
        <v>200</v>
      </c>
      <c r="K42" s="13">
        <v>2025</v>
      </c>
      <c r="L42" s="9" t="s">
        <v>53</v>
      </c>
      <c r="M42" s="9" t="s">
        <v>58</v>
      </c>
      <c r="N42" s="9" t="s">
        <v>35</v>
      </c>
      <c r="O42" s="15">
        <v>0.6</v>
      </c>
      <c r="P42" s="11" t="s">
        <v>59</v>
      </c>
      <c r="Q42" s="11" t="s">
        <v>201</v>
      </c>
    </row>
    <row r="43" spans="1:17" ht="47.95" customHeight="1" x14ac:dyDescent="0.3">
      <c r="A43" s="9" t="s">
        <v>316</v>
      </c>
      <c r="B43" s="9" t="s">
        <v>5</v>
      </c>
      <c r="C43" s="9" t="s">
        <v>202</v>
      </c>
      <c r="D43" s="11" t="s">
        <v>203</v>
      </c>
      <c r="E43" s="13">
        <v>2025</v>
      </c>
      <c r="F43" s="9" t="s">
        <v>63</v>
      </c>
      <c r="G43" s="9" t="s">
        <v>40</v>
      </c>
      <c r="H43" s="9" t="s">
        <v>31</v>
      </c>
      <c r="I43" s="13">
        <v>0</v>
      </c>
      <c r="J43" s="11" t="s">
        <v>204</v>
      </c>
      <c r="K43" s="13">
        <v>2018</v>
      </c>
      <c r="L43" s="9"/>
      <c r="M43" s="9" t="s">
        <v>42</v>
      </c>
      <c r="N43" s="9" t="s">
        <v>65</v>
      </c>
      <c r="O43" s="15">
        <v>0.77329999999999999</v>
      </c>
      <c r="P43" s="11" t="s">
        <v>205</v>
      </c>
      <c r="Q43" s="11" t="s">
        <v>206</v>
      </c>
    </row>
    <row r="44" spans="1:17" ht="47.95" customHeight="1" x14ac:dyDescent="0.3">
      <c r="A44" s="9" t="s">
        <v>316</v>
      </c>
      <c r="B44" s="9" t="s">
        <v>4</v>
      </c>
      <c r="C44" s="9" t="s">
        <v>207</v>
      </c>
      <c r="D44" s="11" t="s">
        <v>208</v>
      </c>
      <c r="E44" s="13">
        <v>2025</v>
      </c>
      <c r="F44" s="9" t="s">
        <v>63</v>
      </c>
      <c r="G44" s="9" t="s">
        <v>40</v>
      </c>
      <c r="H44" s="9" t="s">
        <v>31</v>
      </c>
      <c r="I44" s="13">
        <v>0</v>
      </c>
      <c r="J44" s="11" t="s">
        <v>209</v>
      </c>
      <c r="K44" s="13">
        <v>2025</v>
      </c>
      <c r="L44" s="9"/>
      <c r="M44" s="9" t="s">
        <v>210</v>
      </c>
      <c r="N44" s="9" t="s">
        <v>65</v>
      </c>
      <c r="O44" s="15">
        <v>0.3387</v>
      </c>
      <c r="P44" s="11" t="s">
        <v>43</v>
      </c>
      <c r="Q44" s="11" t="s">
        <v>211</v>
      </c>
    </row>
    <row r="45" spans="1:17" ht="47.95" customHeight="1" x14ac:dyDescent="0.3">
      <c r="A45" s="9" t="s">
        <v>315</v>
      </c>
      <c r="B45" s="9" t="s">
        <v>5</v>
      </c>
      <c r="C45" s="9" t="s">
        <v>212</v>
      </c>
      <c r="D45" s="11" t="s">
        <v>213</v>
      </c>
      <c r="E45" s="13">
        <v>2025</v>
      </c>
      <c r="F45" s="9" t="s">
        <v>63</v>
      </c>
      <c r="G45" s="9" t="s">
        <v>40</v>
      </c>
      <c r="H45" s="9" t="s">
        <v>31</v>
      </c>
      <c r="I45" s="13">
        <v>0</v>
      </c>
      <c r="J45" s="11" t="s">
        <v>214</v>
      </c>
      <c r="K45" s="13">
        <v>2025</v>
      </c>
      <c r="L45" s="9" t="s">
        <v>63</v>
      </c>
      <c r="M45" s="9" t="s">
        <v>42</v>
      </c>
      <c r="N45" s="9" t="s">
        <v>35</v>
      </c>
      <c r="O45" s="15">
        <v>0.71819999999999995</v>
      </c>
      <c r="P45" s="11" t="s">
        <v>43</v>
      </c>
      <c r="Q45" s="11" t="s">
        <v>215</v>
      </c>
    </row>
    <row r="46" spans="1:17" ht="47.95" customHeight="1" x14ac:dyDescent="0.3">
      <c r="A46" s="9" t="s">
        <v>316</v>
      </c>
      <c r="B46" s="9" t="s">
        <v>216</v>
      </c>
      <c r="C46" s="9" t="s">
        <v>217</v>
      </c>
      <c r="D46" s="11" t="s">
        <v>218</v>
      </c>
      <c r="E46" s="13">
        <v>2026</v>
      </c>
      <c r="F46" s="9" t="s">
        <v>29</v>
      </c>
      <c r="G46" s="9" t="s">
        <v>40</v>
      </c>
      <c r="H46" s="9" t="s">
        <v>31</v>
      </c>
      <c r="I46" s="13">
        <v>0</v>
      </c>
      <c r="J46" s="11" t="s">
        <v>219</v>
      </c>
      <c r="K46" s="13">
        <v>2026</v>
      </c>
      <c r="L46" s="9"/>
      <c r="M46" s="9" t="s">
        <v>58</v>
      </c>
      <c r="N46" s="9" t="s">
        <v>65</v>
      </c>
      <c r="O46" s="15">
        <v>0.6</v>
      </c>
      <c r="P46" s="11" t="s">
        <v>161</v>
      </c>
      <c r="Q46" s="11" t="s">
        <v>220</v>
      </c>
    </row>
    <row r="47" spans="1:17" ht="47.95" customHeight="1" x14ac:dyDescent="0.3">
      <c r="A47" s="9" t="s">
        <v>315</v>
      </c>
      <c r="B47" s="9" t="s">
        <v>3</v>
      </c>
      <c r="C47" s="9" t="s">
        <v>221</v>
      </c>
      <c r="D47" s="11" t="s">
        <v>222</v>
      </c>
      <c r="E47" s="13">
        <v>2026</v>
      </c>
      <c r="F47" s="9" t="s">
        <v>29</v>
      </c>
      <c r="G47" s="9" t="s">
        <v>40</v>
      </c>
      <c r="H47" s="9" t="s">
        <v>31</v>
      </c>
      <c r="I47" s="13">
        <v>0</v>
      </c>
      <c r="J47" s="11" t="s">
        <v>223</v>
      </c>
      <c r="K47" s="13">
        <v>2026</v>
      </c>
      <c r="L47" s="9" t="s">
        <v>29</v>
      </c>
      <c r="M47" s="9" t="s">
        <v>58</v>
      </c>
      <c r="N47" s="9" t="s">
        <v>35</v>
      </c>
      <c r="O47" s="15">
        <v>0.6</v>
      </c>
      <c r="P47" s="11" t="s">
        <v>59</v>
      </c>
      <c r="Q47" s="11" t="s">
        <v>224</v>
      </c>
    </row>
    <row r="48" spans="1:17" ht="47.95" customHeight="1" x14ac:dyDescent="0.3">
      <c r="A48" s="9" t="s">
        <v>315</v>
      </c>
      <c r="B48" s="9" t="s">
        <v>3</v>
      </c>
      <c r="C48" s="9" t="s">
        <v>225</v>
      </c>
      <c r="D48" s="11" t="s">
        <v>226</v>
      </c>
      <c r="E48" s="13">
        <v>2026</v>
      </c>
      <c r="F48" s="9" t="s">
        <v>29</v>
      </c>
      <c r="G48" s="9" t="s">
        <v>40</v>
      </c>
      <c r="H48" s="9" t="s">
        <v>31</v>
      </c>
      <c r="I48" s="13">
        <v>0</v>
      </c>
      <c r="J48" s="11" t="s">
        <v>226</v>
      </c>
      <c r="K48" s="13">
        <v>2026</v>
      </c>
      <c r="L48" s="9" t="s">
        <v>29</v>
      </c>
      <c r="M48" s="9" t="s">
        <v>58</v>
      </c>
      <c r="N48" s="9" t="s">
        <v>35</v>
      </c>
      <c r="O48" s="15">
        <v>0.6</v>
      </c>
      <c r="P48" s="11" t="s">
        <v>59</v>
      </c>
      <c r="Q48" s="11" t="s">
        <v>227</v>
      </c>
    </row>
    <row r="49" spans="1:17" ht="47.95" customHeight="1" x14ac:dyDescent="0.3">
      <c r="A49" s="9" t="s">
        <v>315</v>
      </c>
      <c r="B49" s="9" t="s">
        <v>216</v>
      </c>
      <c r="C49" s="9" t="s">
        <v>228</v>
      </c>
      <c r="D49" s="11" t="s">
        <v>229</v>
      </c>
      <c r="E49" s="13">
        <v>2026</v>
      </c>
      <c r="F49" s="9" t="s">
        <v>29</v>
      </c>
      <c r="G49" s="9" t="s">
        <v>40</v>
      </c>
      <c r="H49" s="9" t="s">
        <v>131</v>
      </c>
      <c r="I49" s="13">
        <v>0</v>
      </c>
      <c r="J49" s="11" t="s">
        <v>230</v>
      </c>
      <c r="K49" s="13">
        <v>2026</v>
      </c>
      <c r="L49" s="9" t="s">
        <v>29</v>
      </c>
      <c r="M49" s="9" t="s">
        <v>42</v>
      </c>
      <c r="N49" s="9" t="s">
        <v>35</v>
      </c>
      <c r="O49" s="15">
        <v>0.42630000000000001</v>
      </c>
      <c r="P49" s="11" t="s">
        <v>133</v>
      </c>
      <c r="Q49" s="11" t="s">
        <v>231</v>
      </c>
    </row>
    <row r="50" spans="1:17" ht="47.95" customHeight="1" x14ac:dyDescent="0.3">
      <c r="A50" s="9" t="s">
        <v>315</v>
      </c>
      <c r="B50" s="9" t="s">
        <v>3</v>
      </c>
      <c r="C50" s="9" t="s">
        <v>232</v>
      </c>
      <c r="D50" s="11" t="s">
        <v>233</v>
      </c>
      <c r="E50" s="13">
        <v>2026</v>
      </c>
      <c r="F50" s="9" t="s">
        <v>29</v>
      </c>
      <c r="G50" s="9" t="s">
        <v>40</v>
      </c>
      <c r="H50" s="9" t="s">
        <v>31</v>
      </c>
      <c r="I50" s="13">
        <v>0</v>
      </c>
      <c r="J50" s="11" t="s">
        <v>233</v>
      </c>
      <c r="K50" s="13">
        <v>2026</v>
      </c>
      <c r="L50" s="9"/>
      <c r="M50" s="9" t="s">
        <v>58</v>
      </c>
      <c r="N50" s="9" t="s">
        <v>65</v>
      </c>
      <c r="O50" s="15">
        <v>0.6</v>
      </c>
      <c r="P50" s="11" t="s">
        <v>59</v>
      </c>
      <c r="Q50" s="11" t="s">
        <v>234</v>
      </c>
    </row>
    <row r="51" spans="1:17" ht="47.95" customHeight="1" x14ac:dyDescent="0.3">
      <c r="A51" s="9" t="s">
        <v>316</v>
      </c>
      <c r="B51" s="9" t="s">
        <v>216</v>
      </c>
      <c r="C51" s="9" t="s">
        <v>235</v>
      </c>
      <c r="D51" s="11" t="s">
        <v>236</v>
      </c>
      <c r="E51" s="13">
        <v>2026</v>
      </c>
      <c r="F51" s="9" t="s">
        <v>29</v>
      </c>
      <c r="G51" s="9" t="s">
        <v>40</v>
      </c>
      <c r="H51" s="9" t="s">
        <v>31</v>
      </c>
      <c r="I51" s="13">
        <v>0</v>
      </c>
      <c r="J51" s="11" t="s">
        <v>237</v>
      </c>
      <c r="K51" s="13">
        <v>2015</v>
      </c>
      <c r="L51" s="9"/>
      <c r="M51" s="9" t="s">
        <v>42</v>
      </c>
      <c r="N51" s="9" t="s">
        <v>65</v>
      </c>
      <c r="O51" s="15">
        <v>0.55430000000000001</v>
      </c>
      <c r="P51" s="11" t="s">
        <v>238</v>
      </c>
      <c r="Q51" s="11" t="s">
        <v>239</v>
      </c>
    </row>
    <row r="52" spans="1:17" ht="47.95" customHeight="1" x14ac:dyDescent="0.3">
      <c r="A52" s="9" t="s">
        <v>315</v>
      </c>
      <c r="B52" s="9" t="s">
        <v>3</v>
      </c>
      <c r="C52" s="9" t="s">
        <v>240</v>
      </c>
      <c r="D52" s="11" t="s">
        <v>241</v>
      </c>
      <c r="E52" s="13">
        <v>2026</v>
      </c>
      <c r="F52" s="9" t="s">
        <v>29</v>
      </c>
      <c r="G52" s="9" t="s">
        <v>40</v>
      </c>
      <c r="H52" s="9" t="s">
        <v>31</v>
      </c>
      <c r="I52" s="13">
        <v>0</v>
      </c>
      <c r="J52" s="11" t="s">
        <v>242</v>
      </c>
      <c r="K52" s="13">
        <v>2026</v>
      </c>
      <c r="L52" s="9" t="s">
        <v>29</v>
      </c>
      <c r="M52" s="9" t="s">
        <v>42</v>
      </c>
      <c r="N52" s="9" t="s">
        <v>35</v>
      </c>
      <c r="O52" s="15">
        <v>0.15</v>
      </c>
      <c r="P52" s="11" t="s">
        <v>243</v>
      </c>
      <c r="Q52" s="11" t="s">
        <v>244</v>
      </c>
    </row>
    <row r="53" spans="1:17" ht="47.95" customHeight="1" x14ac:dyDescent="0.3">
      <c r="A53" s="9" t="s">
        <v>316</v>
      </c>
      <c r="B53" s="9" t="s">
        <v>216</v>
      </c>
      <c r="C53" s="9" t="s">
        <v>245</v>
      </c>
      <c r="D53" s="11" t="s">
        <v>246</v>
      </c>
      <c r="E53" s="13">
        <v>2026</v>
      </c>
      <c r="F53" s="9" t="s">
        <v>29</v>
      </c>
      <c r="G53" s="9" t="s">
        <v>40</v>
      </c>
      <c r="H53" s="9" t="s">
        <v>31</v>
      </c>
      <c r="I53" s="13">
        <v>0</v>
      </c>
      <c r="J53" s="11" t="s">
        <v>247</v>
      </c>
      <c r="K53" s="13">
        <v>2026</v>
      </c>
      <c r="L53" s="9"/>
      <c r="M53" s="9" t="s">
        <v>42</v>
      </c>
      <c r="N53" s="9" t="s">
        <v>65</v>
      </c>
      <c r="O53" s="15">
        <v>0.61539999999999995</v>
      </c>
      <c r="P53" s="11" t="s">
        <v>43</v>
      </c>
      <c r="Q53" s="11" t="s">
        <v>248</v>
      </c>
    </row>
    <row r="54" spans="1:17" ht="47.95" customHeight="1" x14ac:dyDescent="0.3">
      <c r="A54" s="9" t="s">
        <v>315</v>
      </c>
      <c r="B54" s="9" t="s">
        <v>3</v>
      </c>
      <c r="C54" s="9" t="s">
        <v>249</v>
      </c>
      <c r="D54" s="11" t="s">
        <v>250</v>
      </c>
      <c r="E54" s="13">
        <v>2026</v>
      </c>
      <c r="F54" s="9" t="s">
        <v>33</v>
      </c>
      <c r="G54" s="9" t="s">
        <v>40</v>
      </c>
      <c r="H54" s="9" t="s">
        <v>31</v>
      </c>
      <c r="I54" s="13">
        <v>0</v>
      </c>
      <c r="J54" s="11" t="s">
        <v>250</v>
      </c>
      <c r="K54" s="13">
        <v>2026</v>
      </c>
      <c r="L54" s="9" t="s">
        <v>33</v>
      </c>
      <c r="M54" s="9" t="s">
        <v>58</v>
      </c>
      <c r="N54" s="9" t="s">
        <v>35</v>
      </c>
      <c r="O54" s="15">
        <v>0.6</v>
      </c>
      <c r="P54" s="11" t="s">
        <v>59</v>
      </c>
      <c r="Q54" s="11" t="s">
        <v>251</v>
      </c>
    </row>
    <row r="55" spans="1:17" ht="47.95" customHeight="1" x14ac:dyDescent="0.3">
      <c r="A55" s="9" t="s">
        <v>315</v>
      </c>
      <c r="B55" s="9" t="s">
        <v>3</v>
      </c>
      <c r="C55" s="9" t="s">
        <v>252</v>
      </c>
      <c r="D55" s="11" t="s">
        <v>253</v>
      </c>
      <c r="E55" s="13">
        <v>2026</v>
      </c>
      <c r="F55" s="9" t="s">
        <v>33</v>
      </c>
      <c r="G55" s="9" t="s">
        <v>40</v>
      </c>
      <c r="H55" s="9" t="s">
        <v>31</v>
      </c>
      <c r="I55" s="13">
        <v>0</v>
      </c>
      <c r="J55" s="11" t="s">
        <v>254</v>
      </c>
      <c r="K55" s="13">
        <v>2026</v>
      </c>
      <c r="L55" s="9" t="s">
        <v>33</v>
      </c>
      <c r="M55" s="9" t="s">
        <v>58</v>
      </c>
      <c r="N55" s="9" t="s">
        <v>35</v>
      </c>
      <c r="O55" s="15">
        <v>0.6</v>
      </c>
      <c r="P55" s="11" t="s">
        <v>59</v>
      </c>
      <c r="Q55" s="11" t="s">
        <v>255</v>
      </c>
    </row>
    <row r="56" spans="1:17" ht="47.95" customHeight="1" x14ac:dyDescent="0.3">
      <c r="A56" s="9" t="s">
        <v>315</v>
      </c>
      <c r="B56" s="9" t="s">
        <v>3</v>
      </c>
      <c r="C56" s="9" t="s">
        <v>256</v>
      </c>
      <c r="D56" s="11" t="s">
        <v>257</v>
      </c>
      <c r="E56" s="13">
        <v>2026</v>
      </c>
      <c r="F56" s="9" t="s">
        <v>33</v>
      </c>
      <c r="G56" s="9" t="s">
        <v>40</v>
      </c>
      <c r="H56" s="9" t="s">
        <v>31</v>
      </c>
      <c r="I56" s="13">
        <v>0</v>
      </c>
      <c r="J56" s="11" t="s">
        <v>257</v>
      </c>
      <c r="K56" s="13">
        <v>2026</v>
      </c>
      <c r="L56" s="9" t="s">
        <v>33</v>
      </c>
      <c r="M56" s="9" t="s">
        <v>58</v>
      </c>
      <c r="N56" s="9" t="s">
        <v>35</v>
      </c>
      <c r="O56" s="15">
        <v>0.6</v>
      </c>
      <c r="P56" s="11" t="s">
        <v>59</v>
      </c>
      <c r="Q56" s="11" t="s">
        <v>258</v>
      </c>
    </row>
    <row r="57" spans="1:17" ht="47.95" customHeight="1" x14ac:dyDescent="0.3">
      <c r="A57" s="9" t="s">
        <v>315</v>
      </c>
      <c r="B57" s="9" t="s">
        <v>5</v>
      </c>
      <c r="C57" s="9" t="s">
        <v>259</v>
      </c>
      <c r="D57" s="11" t="s">
        <v>260</v>
      </c>
      <c r="E57" s="13">
        <v>2026</v>
      </c>
      <c r="F57" s="9" t="s">
        <v>33</v>
      </c>
      <c r="G57" s="9" t="s">
        <v>40</v>
      </c>
      <c r="H57" s="9" t="s">
        <v>31</v>
      </c>
      <c r="I57" s="13">
        <v>0</v>
      </c>
      <c r="J57" s="11" t="s">
        <v>261</v>
      </c>
      <c r="K57" s="13">
        <v>2026</v>
      </c>
      <c r="L57" s="9"/>
      <c r="M57" s="9" t="s">
        <v>42</v>
      </c>
      <c r="N57" s="9" t="s">
        <v>65</v>
      </c>
      <c r="O57" s="15">
        <v>0.72550000000000003</v>
      </c>
      <c r="P57" s="11" t="s">
        <v>43</v>
      </c>
      <c r="Q57" s="11" t="s">
        <v>262</v>
      </c>
    </row>
    <row r="58" spans="1:17" ht="47.95" customHeight="1" x14ac:dyDescent="0.3">
      <c r="A58" s="9" t="s">
        <v>315</v>
      </c>
      <c r="B58" s="9" t="s">
        <v>3</v>
      </c>
      <c r="C58" s="9" t="s">
        <v>263</v>
      </c>
      <c r="D58" s="11" t="s">
        <v>264</v>
      </c>
      <c r="E58" s="13">
        <v>2026</v>
      </c>
      <c r="F58" s="9" t="s">
        <v>33</v>
      </c>
      <c r="G58" s="9" t="s">
        <v>40</v>
      </c>
      <c r="H58" s="9" t="s">
        <v>31</v>
      </c>
      <c r="I58" s="13">
        <v>0</v>
      </c>
      <c r="J58" s="11" t="s">
        <v>264</v>
      </c>
      <c r="K58" s="13">
        <v>2026</v>
      </c>
      <c r="L58" s="9" t="s">
        <v>33</v>
      </c>
      <c r="M58" s="9" t="s">
        <v>58</v>
      </c>
      <c r="N58" s="9" t="s">
        <v>35</v>
      </c>
      <c r="O58" s="15">
        <v>0.6</v>
      </c>
      <c r="P58" s="11" t="s">
        <v>59</v>
      </c>
      <c r="Q58" s="11" t="s">
        <v>265</v>
      </c>
    </row>
    <row r="59" spans="1:17" ht="47.95" customHeight="1" x14ac:dyDescent="0.3">
      <c r="A59" s="9" t="s">
        <v>315</v>
      </c>
      <c r="B59" s="9" t="s">
        <v>216</v>
      </c>
      <c r="C59" s="9" t="s">
        <v>266</v>
      </c>
      <c r="D59" s="11" t="s">
        <v>267</v>
      </c>
      <c r="E59" s="13">
        <v>2026</v>
      </c>
      <c r="F59" s="9" t="s">
        <v>53</v>
      </c>
      <c r="G59" s="9" t="s">
        <v>81</v>
      </c>
      <c r="H59" s="9" t="s">
        <v>31</v>
      </c>
      <c r="I59" s="13">
        <v>1</v>
      </c>
      <c r="J59" s="11" t="s">
        <v>268</v>
      </c>
      <c r="K59" s="13">
        <v>2026</v>
      </c>
      <c r="L59" s="9"/>
      <c r="M59" s="9" t="s">
        <v>58</v>
      </c>
      <c r="N59" s="9" t="s">
        <v>65</v>
      </c>
      <c r="O59" s="15">
        <v>0.6</v>
      </c>
      <c r="P59" s="11" t="s">
        <v>269</v>
      </c>
      <c r="Q59" s="11" t="s">
        <v>270</v>
      </c>
    </row>
    <row r="60" spans="1:17" ht="47.95" customHeight="1" x14ac:dyDescent="0.3">
      <c r="A60" s="9" t="s">
        <v>315</v>
      </c>
      <c r="B60" s="9" t="s">
        <v>3</v>
      </c>
      <c r="C60" s="9" t="s">
        <v>271</v>
      </c>
      <c r="D60" s="11" t="s">
        <v>272</v>
      </c>
      <c r="E60" s="13"/>
      <c r="F60" s="9"/>
      <c r="G60" s="9" t="s">
        <v>40</v>
      </c>
      <c r="H60" s="9"/>
      <c r="I60" s="13">
        <v>0</v>
      </c>
      <c r="J60" s="11" t="s">
        <v>273</v>
      </c>
      <c r="K60" s="13">
        <v>2026</v>
      </c>
      <c r="L60" s="9"/>
      <c r="M60" s="9" t="s">
        <v>58</v>
      </c>
      <c r="N60" s="9" t="s">
        <v>65</v>
      </c>
      <c r="O60" s="15">
        <v>0.6</v>
      </c>
      <c r="P60" s="11" t="s">
        <v>59</v>
      </c>
      <c r="Q60" s="11" t="s">
        <v>274</v>
      </c>
    </row>
    <row r="61" spans="1:17" ht="47.95" customHeight="1" x14ac:dyDescent="0.3">
      <c r="A61" s="9" t="s">
        <v>315</v>
      </c>
      <c r="B61" s="9" t="s">
        <v>3</v>
      </c>
      <c r="C61" s="9" t="s">
        <v>275</v>
      </c>
      <c r="D61" s="11" t="s">
        <v>276</v>
      </c>
      <c r="E61" s="13"/>
      <c r="F61" s="9"/>
      <c r="G61" s="9" t="s">
        <v>40</v>
      </c>
      <c r="H61" s="9"/>
      <c r="I61" s="13">
        <v>0</v>
      </c>
      <c r="J61" s="11" t="s">
        <v>277</v>
      </c>
      <c r="K61" s="13">
        <v>2026</v>
      </c>
      <c r="L61" s="9"/>
      <c r="M61" s="9" t="s">
        <v>42</v>
      </c>
      <c r="N61" s="9" t="s">
        <v>65</v>
      </c>
      <c r="O61" s="15">
        <v>0.71</v>
      </c>
      <c r="P61" s="11" t="s">
        <v>243</v>
      </c>
      <c r="Q61" s="11" t="s">
        <v>278</v>
      </c>
    </row>
    <row r="62" spans="1:17" ht="47.95" customHeight="1" x14ac:dyDescent="0.3">
      <c r="A62" s="9" t="s">
        <v>315</v>
      </c>
      <c r="B62" s="9" t="s">
        <v>3</v>
      </c>
      <c r="C62" s="9" t="s">
        <v>279</v>
      </c>
      <c r="D62" s="11" t="s">
        <v>280</v>
      </c>
      <c r="E62" s="13"/>
      <c r="F62" s="9"/>
      <c r="G62" s="9" t="s">
        <v>40</v>
      </c>
      <c r="H62" s="9"/>
      <c r="I62" s="13">
        <v>0</v>
      </c>
      <c r="J62" s="11" t="s">
        <v>281</v>
      </c>
      <c r="K62" s="13">
        <v>2026</v>
      </c>
      <c r="L62" s="9"/>
      <c r="M62" s="9" t="s">
        <v>42</v>
      </c>
      <c r="N62" s="9" t="s">
        <v>65</v>
      </c>
      <c r="O62" s="15">
        <v>0.71</v>
      </c>
      <c r="P62" s="11" t="s">
        <v>243</v>
      </c>
      <c r="Q62" s="11" t="s">
        <v>282</v>
      </c>
    </row>
    <row r="63" spans="1:17" ht="47.95" customHeight="1" x14ac:dyDescent="0.3">
      <c r="A63" s="9" t="s">
        <v>316</v>
      </c>
      <c r="B63" s="9" t="s">
        <v>4</v>
      </c>
      <c r="C63" s="9" t="s">
        <v>283</v>
      </c>
      <c r="D63" s="11" t="s">
        <v>284</v>
      </c>
      <c r="E63" s="13"/>
      <c r="F63" s="9"/>
      <c r="G63" s="9" t="s">
        <v>40</v>
      </c>
      <c r="H63" s="9"/>
      <c r="I63" s="13">
        <v>0</v>
      </c>
      <c r="J63" s="11" t="s">
        <v>247</v>
      </c>
      <c r="K63" s="13">
        <v>2026</v>
      </c>
      <c r="L63" s="9"/>
      <c r="M63" s="9" t="s">
        <v>42</v>
      </c>
      <c r="N63" s="9" t="s">
        <v>65</v>
      </c>
      <c r="O63" s="15">
        <v>0.49709999999999999</v>
      </c>
      <c r="P63" s="11" t="s">
        <v>43</v>
      </c>
      <c r="Q63" s="11" t="s">
        <v>248</v>
      </c>
    </row>
    <row r="64" spans="1:17" ht="47.95" customHeight="1" x14ac:dyDescent="0.3">
      <c r="A64" s="9" t="s">
        <v>315</v>
      </c>
      <c r="B64" s="9" t="s">
        <v>3</v>
      </c>
      <c r="C64" s="9" t="s">
        <v>285</v>
      </c>
      <c r="D64" s="11" t="s">
        <v>286</v>
      </c>
      <c r="E64" s="13"/>
      <c r="F64" s="9"/>
      <c r="G64" s="9" t="s">
        <v>40</v>
      </c>
      <c r="H64" s="9"/>
      <c r="I64" s="13">
        <v>0</v>
      </c>
      <c r="J64" s="11" t="s">
        <v>286</v>
      </c>
      <c r="K64" s="13">
        <v>2026</v>
      </c>
      <c r="L64" s="9" t="s">
        <v>53</v>
      </c>
      <c r="M64" s="9" t="s">
        <v>42</v>
      </c>
      <c r="N64" s="9" t="s">
        <v>35</v>
      </c>
      <c r="O64" s="15">
        <v>0.33</v>
      </c>
      <c r="P64" s="11" t="s">
        <v>243</v>
      </c>
      <c r="Q64" s="11" t="s">
        <v>287</v>
      </c>
    </row>
    <row r="65" spans="1:17" ht="47.95" customHeight="1" x14ac:dyDescent="0.3">
      <c r="A65" s="9" t="s">
        <v>315</v>
      </c>
      <c r="B65" s="9" t="s">
        <v>3</v>
      </c>
      <c r="C65" s="9" t="s">
        <v>288</v>
      </c>
      <c r="D65" s="11" t="s">
        <v>289</v>
      </c>
      <c r="E65" s="13"/>
      <c r="F65" s="9"/>
      <c r="G65" s="9" t="s">
        <v>40</v>
      </c>
      <c r="H65" s="9"/>
      <c r="I65" s="13">
        <v>0</v>
      </c>
      <c r="J65" s="11" t="s">
        <v>289</v>
      </c>
      <c r="K65" s="13">
        <v>0</v>
      </c>
      <c r="L65" s="9"/>
      <c r="M65" s="9" t="s">
        <v>58</v>
      </c>
      <c r="N65" s="9" t="s">
        <v>35</v>
      </c>
      <c r="O65" s="15">
        <v>0.6</v>
      </c>
      <c r="P65" s="11" t="s">
        <v>59</v>
      </c>
      <c r="Q65" s="11" t="s">
        <v>290</v>
      </c>
    </row>
    <row r="66" spans="1:17" ht="47.95" customHeight="1" x14ac:dyDescent="0.3">
      <c r="A66" s="9" t="s">
        <v>316</v>
      </c>
      <c r="B66" s="9" t="s">
        <v>4</v>
      </c>
      <c r="C66" s="9" t="s">
        <v>291</v>
      </c>
      <c r="D66" s="11" t="s">
        <v>292</v>
      </c>
      <c r="E66" s="13"/>
      <c r="F66" s="9"/>
      <c r="G66" s="9" t="s">
        <v>40</v>
      </c>
      <c r="H66" s="9"/>
      <c r="I66" s="13">
        <v>0</v>
      </c>
      <c r="J66" s="11" t="s">
        <v>293</v>
      </c>
      <c r="K66" s="13">
        <v>2015</v>
      </c>
      <c r="L66" s="9"/>
      <c r="M66" s="9" t="s">
        <v>42</v>
      </c>
      <c r="N66" s="9" t="s">
        <v>65</v>
      </c>
      <c r="O66" s="15">
        <v>0.23649999999999999</v>
      </c>
      <c r="P66" s="11" t="s">
        <v>43</v>
      </c>
      <c r="Q66" s="11" t="s">
        <v>294</v>
      </c>
    </row>
    <row r="67" spans="1:17" ht="47.95" customHeight="1" x14ac:dyDescent="0.3">
      <c r="A67" s="9" t="s">
        <v>316</v>
      </c>
      <c r="B67" s="9" t="s">
        <v>4</v>
      </c>
      <c r="C67" s="9" t="s">
        <v>295</v>
      </c>
      <c r="D67" s="11" t="s">
        <v>296</v>
      </c>
      <c r="E67" s="13"/>
      <c r="F67" s="9"/>
      <c r="G67" s="9" t="s">
        <v>40</v>
      </c>
      <c r="H67" s="9"/>
      <c r="I67" s="13">
        <v>0</v>
      </c>
      <c r="J67" s="11" t="s">
        <v>297</v>
      </c>
      <c r="K67" s="13">
        <v>2012</v>
      </c>
      <c r="L67" s="9"/>
      <c r="M67" s="9" t="s">
        <v>42</v>
      </c>
      <c r="N67" s="9" t="s">
        <v>65</v>
      </c>
      <c r="O67" s="15">
        <v>0.435</v>
      </c>
      <c r="P67" s="11" t="s">
        <v>43</v>
      </c>
      <c r="Q67" s="11" t="s">
        <v>298</v>
      </c>
    </row>
    <row r="68" spans="1:17" ht="47.95" customHeight="1" x14ac:dyDescent="0.3">
      <c r="A68" s="9" t="s">
        <v>315</v>
      </c>
      <c r="B68" s="9" t="s">
        <v>3</v>
      </c>
      <c r="C68" s="9" t="s">
        <v>299</v>
      </c>
      <c r="D68" s="11" t="s">
        <v>300</v>
      </c>
      <c r="E68" s="13"/>
      <c r="F68" s="9"/>
      <c r="G68" s="9" t="s">
        <v>40</v>
      </c>
      <c r="H68" s="9"/>
      <c r="I68" s="13">
        <v>0</v>
      </c>
      <c r="J68" s="11" t="s">
        <v>301</v>
      </c>
      <c r="K68" s="13">
        <v>2026</v>
      </c>
      <c r="L68" s="9" t="s">
        <v>53</v>
      </c>
      <c r="M68" s="9" t="s">
        <v>42</v>
      </c>
      <c r="N68" s="9" t="s">
        <v>35</v>
      </c>
      <c r="O68" s="15">
        <v>0.33</v>
      </c>
      <c r="P68" s="11" t="s">
        <v>243</v>
      </c>
      <c r="Q68" s="11" t="s">
        <v>302</v>
      </c>
    </row>
    <row r="69" spans="1:17" ht="47.95" customHeight="1" x14ac:dyDescent="0.3">
      <c r="A69" s="9" t="s">
        <v>315</v>
      </c>
      <c r="B69" s="9" t="s">
        <v>4</v>
      </c>
      <c r="C69" s="9" t="s">
        <v>303</v>
      </c>
      <c r="D69" s="11" t="s">
        <v>304</v>
      </c>
      <c r="E69" s="13"/>
      <c r="F69" s="9"/>
      <c r="G69" s="9" t="s">
        <v>40</v>
      </c>
      <c r="H69" s="9"/>
      <c r="I69" s="13">
        <v>0</v>
      </c>
      <c r="J69" s="11" t="s">
        <v>305</v>
      </c>
      <c r="K69" s="13">
        <v>2026</v>
      </c>
      <c r="L69" s="9"/>
      <c r="M69" s="9" t="s">
        <v>42</v>
      </c>
      <c r="N69" s="9" t="s">
        <v>65</v>
      </c>
      <c r="O69" s="15">
        <v>0.27489999999999998</v>
      </c>
      <c r="P69" s="11" t="s">
        <v>43</v>
      </c>
      <c r="Q69" s="11" t="s">
        <v>306</v>
      </c>
    </row>
    <row r="70" spans="1:17" ht="47.95" customHeight="1" x14ac:dyDescent="0.3">
      <c r="A70" s="9" t="s">
        <v>315</v>
      </c>
      <c r="B70" s="9" t="s">
        <v>4</v>
      </c>
      <c r="C70" s="9" t="s">
        <v>307</v>
      </c>
      <c r="D70" s="11" t="s">
        <v>308</v>
      </c>
      <c r="E70" s="13"/>
      <c r="F70" s="9"/>
      <c r="G70" s="9" t="s">
        <v>40</v>
      </c>
      <c r="H70" s="9"/>
      <c r="I70" s="13">
        <v>0</v>
      </c>
      <c r="J70" s="11" t="s">
        <v>309</v>
      </c>
      <c r="K70" s="13">
        <v>2026</v>
      </c>
      <c r="L70" s="9" t="s">
        <v>53</v>
      </c>
      <c r="M70" s="9" t="s">
        <v>42</v>
      </c>
      <c r="N70" s="9" t="s">
        <v>35</v>
      </c>
      <c r="O70" s="15">
        <v>0.64770000000000005</v>
      </c>
      <c r="P70" s="11" t="s">
        <v>43</v>
      </c>
      <c r="Q70" s="11" t="s">
        <v>310</v>
      </c>
    </row>
    <row r="71" spans="1:17" ht="47.95" customHeight="1" x14ac:dyDescent="0.3">
      <c r="A71" s="9" t="s">
        <v>315</v>
      </c>
      <c r="B71" s="9" t="s">
        <v>4</v>
      </c>
      <c r="C71" s="9" t="s">
        <v>311</v>
      </c>
      <c r="D71" s="11" t="s">
        <v>312</v>
      </c>
      <c r="E71" s="13"/>
      <c r="F71" s="9"/>
      <c r="G71" s="9" t="s">
        <v>40</v>
      </c>
      <c r="H71" s="9"/>
      <c r="I71" s="13">
        <v>0</v>
      </c>
      <c r="J71" s="11" t="s">
        <v>313</v>
      </c>
      <c r="K71" s="13">
        <v>2026</v>
      </c>
      <c r="L71" s="9" t="s">
        <v>53</v>
      </c>
      <c r="M71" s="9" t="s">
        <v>42</v>
      </c>
      <c r="N71" s="9" t="s">
        <v>35</v>
      </c>
      <c r="O71" s="15">
        <v>0.60319999999999996</v>
      </c>
      <c r="P71" s="11" t="s">
        <v>43</v>
      </c>
      <c r="Q71" s="11" t="s">
        <v>314</v>
      </c>
    </row>
  </sheetData>
  <mergeCells count="2">
    <mergeCell ref="A1:Q1"/>
    <mergeCell ref="A2:Q2"/>
  </mergeCells>
  <conditionalFormatting sqref="A7:A71">
    <cfRule type="containsText" dxfId="5" priority="1" operator="containsText" text="OK"/>
    <cfRule type="containsText" dxfId="4" priority="2" operator="containsText" text="RECHAZAR"/>
  </conditionalFormatting>
  <conditionalFormatting sqref="B7:B71">
    <cfRule type="containsText" dxfId="3" priority="3" operator="containsText" text="Conflicto probable"/>
    <cfRule type="containsText" dxfId="2" priority="4" operator="containsText" text="Revisión recomendada"/>
    <cfRule type="containsText" dxfId="1" priority="5" operator="containsText" text="Alias o título distinto"/>
    <cfRule type="containsText" dxfId="0" priority="6" operator="containsText" text="Estreno futuro o sin publicar"/>
  </conditionalFormatting>
  <dataValidations count="1">
    <dataValidation type="list" sqref="A7:A71" xr:uid="{00000000-0002-0000-0000-000000000000}">
      <formula1>"OK,RECHAZAR"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Revisión de conflictos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VARGAS MARTINEZ</cp:lastModifiedBy>
  <dcterms:modified xsi:type="dcterms:W3CDTF">2026-08-24T03:36:30Z</dcterms:modified>
</cp:coreProperties>
</file>